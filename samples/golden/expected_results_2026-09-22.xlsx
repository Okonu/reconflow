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pected results" sheetId="2" state="visible" r:id="rId4"/>
    <sheet name="Quarantine" sheetId="3" state="visible" r:id="rId5"/>
    <sheet name="Rules reference" sheetId="4" state="visible" r:id="rId6"/>
  </sheets>
  <definedNames>
    <definedName function="false" hidden="true" localSheetId="1" name="_xlnm._FilterDatabase" vbProcedure="false">'Expected results'!$A$1:$L$66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<sst xmlns="http://schemas.openxmlformats.org/spreadsheetml/2006/main" count="540" uniqueCount="287">
  <si>
    <t xml:space="preserve">Golden dataset: expected reconciliation results (answer key)</t>
  </si>
  <si>
    <t xml:space="preserve">Business date 2026-09-22 · tolerance $0.50 · fuzzy window ±24h · timing cut-off 22:00 · payments extract window 2026-09-22 00:00 to next day 06:00 (EAT)</t>
  </si>
  <si>
    <t xml:space="preserve">Expected status</t>
  </si>
  <si>
    <t xml:space="preserve">Roll-up</t>
  </si>
  <si>
    <t xml:space="preserve">Count</t>
  </si>
  <si>
    <t xml:space="preserve">MATCHED</t>
  </si>
  <si>
    <t xml:space="preserve">Match</t>
  </si>
  <si>
    <t xml:space="preserve">MATCHED_TOLERANCE</t>
  </si>
  <si>
    <t xml:space="preserve">MATCHED_SPLIT</t>
  </si>
  <si>
    <t xml:space="preserve">MATCHED_FUZZY</t>
  </si>
  <si>
    <t xml:space="preserve">Match (flagged)</t>
  </si>
  <si>
    <t xml:space="preserve">VARIANCE</t>
  </si>
  <si>
    <t xml:space="preserve">Variance</t>
  </si>
  <si>
    <t xml:space="preserve">POSTING_MISMATCH</t>
  </si>
  <si>
    <t xml:space="preserve">MISSING_PAYMENT</t>
  </si>
  <si>
    <t xml:space="preserve">Exception</t>
  </si>
  <si>
    <t xml:space="preserve">PENDING_TIMING</t>
  </si>
  <si>
    <t xml:space="preserve">Exception (soft)</t>
  </si>
  <si>
    <t xml:space="preserve">UNMATCHED_PAYMENT</t>
  </si>
  <si>
    <t xml:space="preserve">MISSING_POSTING</t>
  </si>
  <si>
    <t xml:space="preserve">DUPLICATE_PAYMENT</t>
  </si>
  <si>
    <t xml:space="preserve">Total reconciled items</t>
  </si>
  <si>
    <t xml:space="preserve">Quarantined rows (data quality)</t>
  </si>
  <si>
    <t xml:space="preserve">Input row counts</t>
  </si>
  <si>
    <t xml:space="preserve">sales rows</t>
  </si>
  <si>
    <t xml:space="preserve">payment rows</t>
  </si>
  <si>
    <t xml:space="preserve">posting rows</t>
  </si>
  <si>
    <t xml:space="preserve">transaction_id</t>
  </si>
  <si>
    <t xml:space="preserve">payment_ids</t>
  </si>
  <si>
    <t xml:space="preserve">journal_id</t>
  </si>
  <si>
    <t xml:space="preserve">expected_amount</t>
  </si>
  <si>
    <t xml:space="preserve">actual_amount</t>
  </si>
  <si>
    <t xml:space="preserve">posted_amount</t>
  </si>
  <si>
    <t xml:space="preserve">variance</t>
  </si>
  <si>
    <t xml:space="preserve">expected_status</t>
  </si>
  <si>
    <t xml:space="preserve">roll_up</t>
  </si>
  <si>
    <t xml:space="preserve">rule_id</t>
  </si>
  <si>
    <t xml:space="preserve">scenario</t>
  </si>
  <si>
    <t xml:space="preserve">note</t>
  </si>
  <si>
    <t xml:space="preserve">TUP-S-000001</t>
  </si>
  <si>
    <t xml:space="preserve">SCNO6B9M80</t>
  </si>
  <si>
    <t xml:space="preserve">JNL-2026-000001</t>
  </si>
  <si>
    <t xml:space="preserve">R1+R4+R6</t>
  </si>
  <si>
    <t xml:space="preserve">Clean match</t>
  </si>
  <si>
    <t xml:space="preserve">TUP-S-000002</t>
  </si>
  <si>
    <t xml:space="preserve">BNK511615594</t>
  </si>
  <si>
    <t xml:space="preserve">JNL-2026-000002</t>
  </si>
  <si>
    <t xml:space="preserve">TUP-S-000003</t>
  </si>
  <si>
    <t xml:space="preserve">SCCOSFOGYR</t>
  </si>
  <si>
    <t xml:space="preserve">JNL-2026-000003</t>
  </si>
  <si>
    <t xml:space="preserve">TUP-S-000004</t>
  </si>
  <si>
    <t xml:space="preserve">SQYR9OUDOC</t>
  </si>
  <si>
    <t xml:space="preserve">JNL-2026-000004</t>
  </si>
  <si>
    <t xml:space="preserve">TUP-S-000005</t>
  </si>
  <si>
    <t xml:space="preserve">SJIP98Q1ZX</t>
  </si>
  <si>
    <t xml:space="preserve">JNL-2026-000005</t>
  </si>
  <si>
    <t xml:space="preserve">TUP-S-000006</t>
  </si>
  <si>
    <t xml:space="preserve">SV37Q9AH8R</t>
  </si>
  <si>
    <t xml:space="preserve">JNL-2026-000006</t>
  </si>
  <si>
    <t xml:space="preserve">TUP-S-000007</t>
  </si>
  <si>
    <t xml:space="preserve">BNK489325288</t>
  </si>
  <si>
    <t xml:space="preserve">JNL-2026-000007</t>
  </si>
  <si>
    <t xml:space="preserve">TUP-S-000008</t>
  </si>
  <si>
    <t xml:space="preserve">BNK171822782</t>
  </si>
  <si>
    <t xml:space="preserve">JNL-2026-000008</t>
  </si>
  <si>
    <t xml:space="preserve">TUP-S-000009</t>
  </si>
  <si>
    <t xml:space="preserve">SHOEVB9OOA</t>
  </si>
  <si>
    <t xml:space="preserve">JNL-2026-000009</t>
  </si>
  <si>
    <t xml:space="preserve">TUP-S-000010</t>
  </si>
  <si>
    <t xml:space="preserve">STI4P40MGG</t>
  </si>
  <si>
    <t xml:space="preserve">JNL-2026-000010</t>
  </si>
  <si>
    <t xml:space="preserve">TUP-S-000011</t>
  </si>
  <si>
    <t xml:space="preserve">SG82I1LR3P</t>
  </si>
  <si>
    <t xml:space="preserve">JNL-2026-000011</t>
  </si>
  <si>
    <t xml:space="preserve">TUP-S-000012</t>
  </si>
  <si>
    <t xml:space="preserve">SNDKYAYQ3S</t>
  </si>
  <si>
    <t xml:space="preserve">JNL-2026-000012</t>
  </si>
  <si>
    <t xml:space="preserve">TUP-S-000013</t>
  </si>
  <si>
    <t xml:space="preserve">SB467KD6FL</t>
  </si>
  <si>
    <t xml:space="preserve">JNL-2026-000013</t>
  </si>
  <si>
    <t xml:space="preserve">TUP-S-000014</t>
  </si>
  <si>
    <t xml:space="preserve">SX7UQNUPQZ</t>
  </si>
  <si>
    <t xml:space="preserve">JNL-2026-000014</t>
  </si>
  <si>
    <t xml:space="preserve">TUP-S-000015</t>
  </si>
  <si>
    <t xml:space="preserve">SSQIWEPXSK</t>
  </si>
  <si>
    <t xml:space="preserve">JNL-2026-000015</t>
  </si>
  <si>
    <t xml:space="preserve">TUP-S-000016</t>
  </si>
  <si>
    <t xml:space="preserve">SD9JRSNVNQ</t>
  </si>
  <si>
    <t xml:space="preserve">JNL-2026-000016</t>
  </si>
  <si>
    <t xml:space="preserve">TUP-S-000017</t>
  </si>
  <si>
    <t xml:space="preserve">BNK278680112</t>
  </si>
  <si>
    <t xml:space="preserve">JNL-2026-000017</t>
  </si>
  <si>
    <t xml:space="preserve">TUP-S-000018</t>
  </si>
  <si>
    <t xml:space="preserve">BNK331586923</t>
  </si>
  <si>
    <t xml:space="preserve">JNL-2026-000018</t>
  </si>
  <si>
    <t xml:space="preserve">TUP-S-000019</t>
  </si>
  <si>
    <t xml:space="preserve">SB4OM3WTOO</t>
  </si>
  <si>
    <t xml:space="preserve">JNL-2026-000019</t>
  </si>
  <si>
    <t xml:space="preserve">TUP-S-000020</t>
  </si>
  <si>
    <t xml:space="preserve">BNK142940196</t>
  </si>
  <si>
    <t xml:space="preserve">JNL-2026-000020</t>
  </si>
  <si>
    <t xml:space="preserve">TUP-S-000021</t>
  </si>
  <si>
    <t xml:space="preserve">SS8MX1EVUH</t>
  </si>
  <si>
    <t xml:space="preserve">JNL-2026-000021</t>
  </si>
  <si>
    <t xml:space="preserve">TUP-S-000022</t>
  </si>
  <si>
    <t xml:space="preserve">SNLTZ9ATSN</t>
  </si>
  <si>
    <t xml:space="preserve">JNL-2026-000022</t>
  </si>
  <si>
    <t xml:space="preserve">TUP-S-000023</t>
  </si>
  <si>
    <t xml:space="preserve">SCS6VFPTOM</t>
  </si>
  <si>
    <t xml:space="preserve">JNL-2026-000023</t>
  </si>
  <si>
    <t xml:space="preserve">TUP-S-000024</t>
  </si>
  <si>
    <t xml:space="preserve">SRZPJAG1OL</t>
  </si>
  <si>
    <t xml:space="preserve">JNL-2026-000024</t>
  </si>
  <si>
    <t xml:space="preserve">TUP-S-000025</t>
  </si>
  <si>
    <t xml:space="preserve">SQ6192K42Q</t>
  </si>
  <si>
    <t xml:space="preserve">JNL-2026-000025</t>
  </si>
  <si>
    <t xml:space="preserve">TUP-S-000026</t>
  </si>
  <si>
    <t xml:space="preserve">STFIJOYJNE</t>
  </si>
  <si>
    <t xml:space="preserve">JNL-2026-000026</t>
  </si>
  <si>
    <t xml:space="preserve">TUP-S-000027</t>
  </si>
  <si>
    <t xml:space="preserve">SUY4AWTY08</t>
  </si>
  <si>
    <t xml:space="preserve">JNL-2026-000027</t>
  </si>
  <si>
    <t xml:space="preserve">TUP-S-000028</t>
  </si>
  <si>
    <t xml:space="preserve">SNK3I8BZBF</t>
  </si>
  <si>
    <t xml:space="preserve">JNL-2026-000028</t>
  </si>
  <si>
    <t xml:space="preserve">TUP-S-000029</t>
  </si>
  <si>
    <t xml:space="preserve">SNR0QF4B8D</t>
  </si>
  <si>
    <t xml:space="preserve">JNL-2026-000029</t>
  </si>
  <si>
    <t xml:space="preserve">TUP-S-000030</t>
  </si>
  <si>
    <t xml:space="preserve">SXHN3QXKHK</t>
  </si>
  <si>
    <t xml:space="preserve">JNL-2026-000030</t>
  </si>
  <si>
    <t xml:space="preserve">TUP-S-000031</t>
  </si>
  <si>
    <t xml:space="preserve">SKHCW81XE6</t>
  </si>
  <si>
    <t xml:space="preserve">JNL-2026-000031</t>
  </si>
  <si>
    <t xml:space="preserve">R1+R4</t>
  </si>
  <si>
    <t xml:space="preserve">Rounding difference within $0.50</t>
  </si>
  <si>
    <t xml:space="preserve">diff 0.25</t>
  </si>
  <si>
    <t xml:space="preserve">TUP-S-000032</t>
  </si>
  <si>
    <t xml:space="preserve">SWR8431RUP</t>
  </si>
  <si>
    <t xml:space="preserve">JNL-2026-000032</t>
  </si>
  <si>
    <t xml:space="preserve">TUP-S-000033</t>
  </si>
  <si>
    <t xml:space="preserve">SGWQVRR9A7</t>
  </si>
  <si>
    <t xml:space="preserve">JNL-2026-000033</t>
  </si>
  <si>
    <t xml:space="preserve">diff 0.40</t>
  </si>
  <si>
    <t xml:space="preserve">TUP-S-000034</t>
  </si>
  <si>
    <t xml:space="preserve">SXX497W19V, SQRTQOHMUH</t>
  </si>
  <si>
    <t xml:space="preserve">JNL-2026-000034</t>
  </si>
  <si>
    <t xml:space="preserve">R2</t>
  </si>
  <si>
    <t xml:space="preserve">Paid in 2 instalments</t>
  </si>
  <si>
    <t xml:space="preserve">TUP-S-000035</t>
  </si>
  <si>
    <t xml:space="preserve">SKA8IRCD9S, SE5GAS442V</t>
  </si>
  <si>
    <t xml:space="preserve">JNL-2026-000035</t>
  </si>
  <si>
    <t xml:space="preserve">TUP-S-000036</t>
  </si>
  <si>
    <t xml:space="preserve">BNK131869993, SN22T1TDGN</t>
  </si>
  <si>
    <t xml:space="preserve">JNL-2026-000036</t>
  </si>
  <si>
    <t xml:space="preserve">TUP-S-000037</t>
  </si>
  <si>
    <t xml:space="preserve">SY4SCOSS3E</t>
  </si>
  <si>
    <t xml:space="preserve">JNL-2026-000037</t>
  </si>
  <si>
    <t xml:space="preserve">R3</t>
  </si>
  <si>
    <t xml:space="preserve">Reference blank; matched on phone + amount + time</t>
  </si>
  <si>
    <t xml:space="preserve">payment reference = ''</t>
  </si>
  <si>
    <t xml:space="preserve">TUP-S-000038</t>
  </si>
  <si>
    <t xml:space="preserve">BNK210249947</t>
  </si>
  <si>
    <t xml:space="preserve">JNL-2026-000038</t>
  </si>
  <si>
    <t xml:space="preserve">TUP-S-000039</t>
  </si>
  <si>
    <t xml:space="preserve">SPUQBFOBRC</t>
  </si>
  <si>
    <t xml:space="preserve">JNL-2026-000039</t>
  </si>
  <si>
    <t xml:space="preserve">Reference truncated; matched on phone + amount + time</t>
  </si>
  <si>
    <t xml:space="preserve">payment reference = 'TUP-S-00003'</t>
  </si>
  <si>
    <t xml:space="preserve">TUP-S-000040</t>
  </si>
  <si>
    <t xml:space="preserve">SLUGKV05SZ</t>
  </si>
  <si>
    <t xml:space="preserve">JNL-2026-000040</t>
  </si>
  <si>
    <t xml:space="preserve">Reference garbled; matched on phone + amount + time</t>
  </si>
  <si>
    <t xml:space="preserve">payment reference = 'TUPS000040'</t>
  </si>
  <si>
    <t xml:space="preserve">TUP-S-000041</t>
  </si>
  <si>
    <t xml:space="preserve">SBM7X52DNR</t>
  </si>
  <si>
    <t xml:space="preserve">JNL-2026-000041</t>
  </si>
  <si>
    <t xml:space="preserve">R4</t>
  </si>
  <si>
    <t xml:space="preserve">Under-payment</t>
  </si>
  <si>
    <t xml:space="preserve">TUP-S-000042</t>
  </si>
  <si>
    <t xml:space="preserve">SHH3HJ5S6R</t>
  </si>
  <si>
    <t xml:space="preserve">JNL-2026-000042</t>
  </si>
  <si>
    <t xml:space="preserve">TUP-S-000043</t>
  </si>
  <si>
    <t xml:space="preserve">SPV6RAST5J</t>
  </si>
  <si>
    <t xml:space="preserve">JNL-2026-000043</t>
  </si>
  <si>
    <t xml:space="preserve">TUP-S-000044</t>
  </si>
  <si>
    <t xml:space="preserve">SPCU4YYJ5C</t>
  </si>
  <si>
    <t xml:space="preserve">JNL-2026-000044</t>
  </si>
  <si>
    <t xml:space="preserve">Over-payment</t>
  </si>
  <si>
    <t xml:space="preserve">TUP-S-000045</t>
  </si>
  <si>
    <t xml:space="preserve">SWJE4QVZFV</t>
  </si>
  <si>
    <t xml:space="preserve">JNL-2026-000045</t>
  </si>
  <si>
    <t xml:space="preserve">R6</t>
  </si>
  <si>
    <t xml:space="preserve">ERP posted a different amount</t>
  </si>
  <si>
    <t xml:space="preserve">TUP-S-000046</t>
  </si>
  <si>
    <t xml:space="preserve">BNK172400504</t>
  </si>
  <si>
    <t xml:space="preserve">JNL-2026-000046</t>
  </si>
  <si>
    <t xml:space="preserve">TUP-S-000047</t>
  </si>
  <si>
    <t xml:space="preserve">JNL-2026-000047</t>
  </si>
  <si>
    <t xml:space="preserve">R7</t>
  </si>
  <si>
    <t xml:space="preserve">Sale never paid</t>
  </si>
  <si>
    <t xml:space="preserve">TUP-S-000048</t>
  </si>
  <si>
    <t xml:space="preserve">JNL-2026-000048</t>
  </si>
  <si>
    <t xml:space="preserve">TUP-S-000049</t>
  </si>
  <si>
    <t xml:space="preserve">JNL-2026-000049</t>
  </si>
  <si>
    <t xml:space="preserve">TUP-S-000050</t>
  </si>
  <si>
    <t xml:space="preserve">JNL-2026-000050</t>
  </si>
  <si>
    <t xml:space="preserve">Late sale (after 22:00 cut-off), payment not yet received</t>
  </si>
  <si>
    <t xml:space="preserve">carry forward to next run</t>
  </si>
  <si>
    <t xml:space="preserve">TUP-S-000051</t>
  </si>
  <si>
    <t xml:space="preserve">JNL-2026-000051</t>
  </si>
  <si>
    <t xml:space="preserve">BNK974395339</t>
  </si>
  <si>
    <t xml:space="preserve">Payment with no corresponding sale</t>
  </si>
  <si>
    <t xml:space="preserve">SL0LMI8X76</t>
  </si>
  <si>
    <t xml:space="preserve">SXZ9XFZAQ8</t>
  </si>
  <si>
    <t xml:space="preserve">TUP-S-000052</t>
  </si>
  <si>
    <t xml:space="preserve">SYT0HICCT5</t>
  </si>
  <si>
    <t xml:space="preserve">Paid but not posted to ERP</t>
  </si>
  <si>
    <t xml:space="preserve">TUP-S-000053</t>
  </si>
  <si>
    <t xml:space="preserve">SPG50RCXN2</t>
  </si>
  <si>
    <t xml:space="preserve">TUP-S-000054</t>
  </si>
  <si>
    <t xml:space="preserve">BNK713900532</t>
  </si>
  <si>
    <t xml:space="preserve">TUP-S-000055</t>
  </si>
  <si>
    <t xml:space="preserve">SVARJI8QLH</t>
  </si>
  <si>
    <t xml:space="preserve">JNL-2026-000052</t>
  </si>
  <si>
    <t xml:space="preserve">Original of a duplicated receipt</t>
  </si>
  <si>
    <t xml:space="preserve">R5</t>
  </si>
  <si>
    <t xml:space="preserve">Same M-Pesa receipt loaded twice</t>
  </si>
  <si>
    <t xml:space="preserve">second copy of the receipt</t>
  </si>
  <si>
    <t xml:space="preserve">TUP-S-000056</t>
  </si>
  <si>
    <t xml:space="preserve">SE07HE42X6</t>
  </si>
  <si>
    <t xml:space="preserve">JNL-2026-000053</t>
  </si>
  <si>
    <t xml:space="preserve">First of two identical payments</t>
  </si>
  <si>
    <t xml:space="preserve">SQ6OC7T3BD</t>
  </si>
  <si>
    <t xml:space="preserve">Customer paid twice within 5 minutes (different receipts)</t>
  </si>
  <si>
    <t xml:space="preserve">refund candidate</t>
  </si>
  <si>
    <t xml:space="preserve">TUP-S-000057</t>
  </si>
  <si>
    <t xml:space="preserve">JNL-2026-000054</t>
  </si>
  <si>
    <t xml:space="preserve">R3 tie → R7</t>
  </si>
  <si>
    <t xml:space="preserve">Ambiguous fuzzy match: two candidate sales</t>
  </si>
  <si>
    <t xml:space="preserve">not auto-matched; needs a person</t>
  </si>
  <si>
    <t xml:space="preserve">TUP-S-000058</t>
  </si>
  <si>
    <t xml:space="preserve">JNL-2026-000055</t>
  </si>
  <si>
    <t xml:space="preserve">SU9UY7S361</t>
  </si>
  <si>
    <t xml:space="preserve">Payment with two candidate sales</t>
  </si>
  <si>
    <t xml:space="preserve">TUP-S-000059</t>
  </si>
  <si>
    <t xml:space="preserve">SN0GU1UQXJ</t>
  </si>
  <si>
    <t xml:space="preserve">JNL-2026-000056</t>
  </si>
  <si>
    <t xml:space="preserve">Payment landed after midnight (within extract window)</t>
  </si>
  <si>
    <t xml:space="preserve">source</t>
  </si>
  <si>
    <t xml:space="preserve">record_key</t>
  </si>
  <si>
    <t xml:space="preserve">reason</t>
  </si>
  <si>
    <t xml:space="preserve">sales</t>
  </si>
  <si>
    <t xml:space="preserve">(blank)</t>
  </si>
  <si>
    <t xml:space="preserve">Missing required field: transaction_id</t>
  </si>
  <si>
    <t xml:space="preserve">TUP-S-000959</t>
  </si>
  <si>
    <t xml:space="preserve">Amount must be greater than 0</t>
  </si>
  <si>
    <t xml:space="preserve">TUP-S-000960</t>
  </si>
  <si>
    <t xml:space="preserve">Invalid phone format (expected 2547XXXXXXXX)</t>
  </si>
  <si>
    <t xml:space="preserve">payments</t>
  </si>
  <si>
    <t xml:space="preserve">SXH0W1DSTW</t>
  </si>
  <si>
    <t xml:space="preserve">Unparseable timestamp</t>
  </si>
  <si>
    <t xml:space="preserve">SHGW9XHRO1</t>
  </si>
  <si>
    <t xml:space="preserve">Invalid channel 'CASH'</t>
  </si>
  <si>
    <t xml:space="preserve">postings</t>
  </si>
  <si>
    <t xml:space="preserve">TUP-S-000961</t>
  </si>
  <si>
    <t xml:space="preserve">Unsupported currency 'KES' (USD only)</t>
  </si>
  <si>
    <t xml:space="preserve">Rule</t>
  </si>
  <si>
    <t xml:space="preserve">Name</t>
  </si>
  <si>
    <t xml:space="preserve">Definition</t>
  </si>
  <si>
    <t xml:space="preserve">R1</t>
  </si>
  <si>
    <t xml:space="preserve">Exact key</t>
  </si>
  <si>
    <t xml:space="preserve">Sale transaction_id = payment reference (exactly one payment).</t>
  </si>
  <si>
    <t xml:space="preserve">Split</t>
  </si>
  <si>
    <t xml:space="preserve">Several payments reference one sale and together equal the expected amount (± tolerance).</t>
  </si>
  <si>
    <t xml:space="preserve">Fuzzy</t>
  </si>
  <si>
    <t xml:space="preserve">Unreferenced payment matched on same phone + amount (± tolerance) + within ±24h. One-to-one only; ties are not matched.</t>
  </si>
  <si>
    <t xml:space="preserve">Amount check</t>
  </si>
  <si>
    <t xml:space="preserve">|actual − expected| ≤ $0.50 → match; otherwise VARIANCE.</t>
  </si>
  <si>
    <t xml:space="preserve">Duplicates</t>
  </si>
  <si>
    <t xml:space="preserve">Checked before matching: same receipt twice, or same reference + amount within 5 minutes. Extra copy → DUPLICATE_PAYMENT.</t>
  </si>
  <si>
    <t xml:space="preserve">Posting check</t>
  </si>
  <si>
    <t xml:space="preserve">Matched pair: no POSTED ERP line → MISSING_POSTING; posted ≠ expected → POSTING_MISMATCH.</t>
  </si>
  <si>
    <t xml:space="preserve">Leftovers</t>
  </si>
  <si>
    <t xml:space="preserve">Unpaid sale → MISSING_PAYMENT (PENDING_TIMING if after 22:00 cut-off); payment with no sale → UNMATCHED_PAYMENT.</t>
  </si>
  <si>
    <t xml:space="preserve">Precedence</t>
  </si>
  <si>
    <t xml:space="preserve">Variance is reported before posting checks: a VARIANCE item with a correct posting stays VARIANCE.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</si>
</sst>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F33"/>
      <name val="Arial"/>
      <family val="0"/>
      <charset val="1"/>
    </font>
    <font>
      <i val="true"/>
      <sz val="11"/>
      <color rgb="FF5F6B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63F3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7F67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7F6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6"/>
      <rgbColor rgb="FF969696"/>
      <rgbColor rgb="FF003366"/>
      <rgbColor rgb="FF2D7F67"/>
      <rgbColor rgb="FF003300"/>
      <rgbColor rgb="FF333300"/>
      <rgbColor rgb="FF993300"/>
      <rgbColor rgb="FF993366"/>
      <rgbColor rgb="FF333399"/>
      <rgbColor rgb="FF163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n">
        <f aca="false">COUNTIF('Expected results'!H:H,A5)</f>
        <v>33</v>
      </c>
    </row>
    <row r="6" customFormat="false" ht="15" hidden="false" customHeight="false" outlineLevel="0" collapsed="false">
      <c r="A6" s="4" t="s">
        <v>7</v>
      </c>
      <c r="B6" s="4" t="s">
        <v>6</v>
      </c>
      <c r="C6" s="4" t="n">
        <f aca="false">COUNTIF('Expected results'!H:H,A6)</f>
        <v>3</v>
      </c>
    </row>
    <row r="7" customFormat="false" ht="15" hidden="false" customHeight="false" outlineLevel="0" collapsed="false">
      <c r="A7" s="4" t="s">
        <v>8</v>
      </c>
      <c r="B7" s="4" t="s">
        <v>6</v>
      </c>
      <c r="C7" s="4" t="n">
        <f aca="false">COUNTIF('Expected results'!H:H,A7)</f>
        <v>3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n">
        <f aca="false">COUNTIF('Expected results'!H:H,A8)</f>
        <v>4</v>
      </c>
    </row>
    <row r="9" customFormat="false" ht="15" hidden="false" customHeight="false" outlineLevel="0" collapsed="false">
      <c r="A9" s="4" t="s">
        <v>11</v>
      </c>
      <c r="B9" s="4" t="s">
        <v>12</v>
      </c>
      <c r="C9" s="4" t="n">
        <f aca="false">COUNTIF('Expected results'!H:H,A9)</f>
        <v>4</v>
      </c>
    </row>
    <row r="10" customFormat="false" ht="15" hidden="false" customHeight="false" outlineLevel="0" collapsed="false">
      <c r="A10" s="4" t="s">
        <v>13</v>
      </c>
      <c r="B10" s="4" t="s">
        <v>12</v>
      </c>
      <c r="C10" s="4" t="n">
        <f aca="false">COUNTIF('Expected results'!H:H,A10)</f>
        <v>2</v>
      </c>
    </row>
    <row r="11" customFormat="false" ht="15" hidden="false" customHeight="false" outlineLevel="0" collapsed="false">
      <c r="A11" s="4" t="s">
        <v>14</v>
      </c>
      <c r="B11" s="4" t="s">
        <v>15</v>
      </c>
      <c r="C11" s="4" t="n">
        <f aca="false">COUNTIF('Expected results'!H:H,A11)</f>
        <v>5</v>
      </c>
    </row>
    <row r="12" customFormat="false" ht="15" hidden="false" customHeight="false" outlineLevel="0" collapsed="false">
      <c r="A12" s="4" t="s">
        <v>16</v>
      </c>
      <c r="B12" s="4" t="s">
        <v>17</v>
      </c>
      <c r="C12" s="4" t="n">
        <f aca="false">COUNTIF('Expected results'!H:H,A12)</f>
        <v>2</v>
      </c>
    </row>
    <row r="13" customFormat="false" ht="15" hidden="false" customHeight="false" outlineLevel="0" collapsed="false">
      <c r="A13" s="4" t="s">
        <v>18</v>
      </c>
      <c r="B13" s="4" t="s">
        <v>15</v>
      </c>
      <c r="C13" s="4" t="n">
        <f aca="false">COUNTIF('Expected results'!H:H,A13)</f>
        <v>4</v>
      </c>
    </row>
    <row r="14" customFormat="false" ht="15" hidden="false" customHeight="false" outlineLevel="0" collapsed="false">
      <c r="A14" s="4" t="s">
        <v>19</v>
      </c>
      <c r="B14" s="4" t="s">
        <v>15</v>
      </c>
      <c r="C14" s="4" t="n">
        <f aca="false">COUNTIF('Expected results'!H:H,A14)</f>
        <v>3</v>
      </c>
    </row>
    <row r="15" customFormat="false" ht="15" hidden="false" customHeight="false" outlineLevel="0" collapsed="false">
      <c r="A15" s="4" t="s">
        <v>20</v>
      </c>
      <c r="B15" s="4" t="s">
        <v>15</v>
      </c>
      <c r="C15" s="4" t="n">
        <f aca="false">COUNTIF('Expected results'!H:H,A15)</f>
        <v>2</v>
      </c>
    </row>
    <row r="16" customFormat="false" ht="15" hidden="false" customHeight="false" outlineLevel="0" collapsed="false">
      <c r="A16" s="5" t="s">
        <v>21</v>
      </c>
      <c r="C16" s="5" t="n">
        <f aca="false">SUM(C5:C15)</f>
        <v>65</v>
      </c>
    </row>
    <row r="17" customFormat="false" ht="15" hidden="false" customHeight="false" outlineLevel="0" collapsed="false">
      <c r="A17" s="5" t="s">
        <v>22</v>
      </c>
      <c r="C17" s="5" t="n">
        <f aca="false">COUNTA(Quarantine!A:A)-1</f>
        <v>6</v>
      </c>
    </row>
    <row r="19" customFormat="false" ht="15" hidden="false" customHeight="false" outlineLevel="0" collapsed="false">
      <c r="A19" s="6" t="s">
        <v>23</v>
      </c>
    </row>
    <row r="20" customFormat="false" ht="15" hidden="false" customHeight="false" outlineLevel="0" collapsed="false">
      <c r="A20" s="4" t="s">
        <v>24</v>
      </c>
      <c r="C20" s="4" t="n">
        <v>62</v>
      </c>
    </row>
    <row r="21" customFormat="false" ht="15" hidden="false" customHeight="false" outlineLevel="0" collapsed="false">
      <c r="A21" s="4" t="s">
        <v>25</v>
      </c>
      <c r="C21" s="4" t="n">
        <v>63</v>
      </c>
    </row>
    <row r="22" customFormat="false" ht="15" hidden="false" customHeight="false" outlineLevel="0" collapsed="false">
      <c r="A22" s="4" t="s">
        <v>26</v>
      </c>
      <c r="C22" s="4" t="n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52"/>
    <col collapsed="false" customWidth="true" hidden="false" outlineLevel="0" max="12" min="12" style="0" width="32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customFormat="false" ht="15" hidden="false" customHeight="false" outlineLevel="0" collapsed="false">
      <c r="A2" s="4" t="s">
        <v>39</v>
      </c>
      <c r="B2" s="4" t="s">
        <v>40</v>
      </c>
      <c r="C2" s="4" t="s">
        <v>41</v>
      </c>
      <c r="D2" s="7" t="n">
        <v>31</v>
      </c>
      <c r="E2" s="7" t="n">
        <v>31</v>
      </c>
      <c r="F2" s="7" t="n">
        <v>31</v>
      </c>
      <c r="G2" s="7" t="n">
        <f aca="false">IF(AND(ISNUMBER(E2),ISNUMBER(D2)),E2-D2,"")</f>
        <v>0</v>
      </c>
      <c r="H2" s="4" t="s">
        <v>5</v>
      </c>
      <c r="I2" s="4" t="s">
        <v>6</v>
      </c>
      <c r="J2" s="4" t="s">
        <v>42</v>
      </c>
      <c r="K2" s="4" t="s">
        <v>43</v>
      </c>
      <c r="L2" s="4"/>
    </row>
    <row r="3" customFormat="false" ht="15" hidden="false" customHeight="false" outlineLevel="0" collapsed="false">
      <c r="A3" s="4" t="s">
        <v>44</v>
      </c>
      <c r="B3" s="4" t="s">
        <v>45</v>
      </c>
      <c r="C3" s="4" t="s">
        <v>46</v>
      </c>
      <c r="D3" s="7" t="n">
        <v>435</v>
      </c>
      <c r="E3" s="7" t="n">
        <v>435</v>
      </c>
      <c r="F3" s="7" t="n">
        <v>435</v>
      </c>
      <c r="G3" s="7" t="n">
        <f aca="false">IF(AND(ISNUMBER(E3),ISNUMBER(D3)),E3-D3,"")</f>
        <v>0</v>
      </c>
      <c r="H3" s="4" t="s">
        <v>5</v>
      </c>
      <c r="I3" s="4" t="s">
        <v>6</v>
      </c>
      <c r="J3" s="4" t="s">
        <v>42</v>
      </c>
      <c r="K3" s="4" t="s">
        <v>43</v>
      </c>
      <c r="L3" s="4"/>
    </row>
    <row r="4" customFormat="false" ht="15" hidden="false" customHeight="false" outlineLevel="0" collapsed="false">
      <c r="A4" s="4" t="s">
        <v>47</v>
      </c>
      <c r="B4" s="4" t="s">
        <v>48</v>
      </c>
      <c r="C4" s="4" t="s">
        <v>49</v>
      </c>
      <c r="D4" s="7" t="n">
        <v>577.5</v>
      </c>
      <c r="E4" s="7" t="n">
        <v>577.5</v>
      </c>
      <c r="F4" s="7" t="n">
        <v>577.5</v>
      </c>
      <c r="G4" s="7" t="n">
        <f aca="false">IF(AND(ISNUMBER(E4),ISNUMBER(D4)),E4-D4,"")</f>
        <v>0</v>
      </c>
      <c r="H4" s="4" t="s">
        <v>5</v>
      </c>
      <c r="I4" s="4" t="s">
        <v>6</v>
      </c>
      <c r="J4" s="4" t="s">
        <v>42</v>
      </c>
      <c r="K4" s="4" t="s">
        <v>43</v>
      </c>
      <c r="L4" s="4"/>
    </row>
    <row r="5" customFormat="false" ht="15" hidden="false" customHeight="false" outlineLevel="0" collapsed="false">
      <c r="A5" s="4" t="s">
        <v>50</v>
      </c>
      <c r="B5" s="4" t="s">
        <v>51</v>
      </c>
      <c r="C5" s="4" t="s">
        <v>52</v>
      </c>
      <c r="D5" s="7" t="n">
        <v>33.6</v>
      </c>
      <c r="E5" s="7" t="n">
        <v>33.6</v>
      </c>
      <c r="F5" s="7" t="n">
        <v>33.6</v>
      </c>
      <c r="G5" s="7" t="n">
        <f aca="false">IF(AND(ISNUMBER(E5),ISNUMBER(D5)),E5-D5,"")</f>
        <v>0</v>
      </c>
      <c r="H5" s="4" t="s">
        <v>5</v>
      </c>
      <c r="I5" s="4" t="s">
        <v>6</v>
      </c>
      <c r="J5" s="4" t="s">
        <v>42</v>
      </c>
      <c r="K5" s="4" t="s">
        <v>43</v>
      </c>
      <c r="L5" s="4"/>
    </row>
    <row r="6" customFormat="false" ht="15" hidden="false" customHeight="false" outlineLevel="0" collapsed="false">
      <c r="A6" s="4" t="s">
        <v>53</v>
      </c>
      <c r="B6" s="4" t="s">
        <v>54</v>
      </c>
      <c r="C6" s="4" t="s">
        <v>55</v>
      </c>
      <c r="D6" s="7" t="n">
        <v>72.8</v>
      </c>
      <c r="E6" s="7" t="n">
        <v>72.8</v>
      </c>
      <c r="F6" s="7" t="n">
        <v>72.8</v>
      </c>
      <c r="G6" s="7" t="n">
        <f aca="false">IF(AND(ISNUMBER(E6),ISNUMBER(D6)),E6-D6,"")</f>
        <v>0</v>
      </c>
      <c r="H6" s="4" t="s">
        <v>5</v>
      </c>
      <c r="I6" s="4" t="s">
        <v>6</v>
      </c>
      <c r="J6" s="4" t="s">
        <v>42</v>
      </c>
      <c r="K6" s="4" t="s">
        <v>43</v>
      </c>
      <c r="L6" s="4"/>
    </row>
    <row r="7" customFormat="false" ht="15" hidden="false" customHeight="false" outlineLevel="0" collapsed="false">
      <c r="A7" s="4" t="s">
        <v>56</v>
      </c>
      <c r="B7" s="4" t="s">
        <v>57</v>
      </c>
      <c r="C7" s="4" t="s">
        <v>58</v>
      </c>
      <c r="D7" s="7" t="n">
        <v>612</v>
      </c>
      <c r="E7" s="7" t="n">
        <v>612</v>
      </c>
      <c r="F7" s="7" t="n">
        <v>612</v>
      </c>
      <c r="G7" s="7" t="n">
        <f aca="false">IF(AND(ISNUMBER(E7),ISNUMBER(D7)),E7-D7,"")</f>
        <v>0</v>
      </c>
      <c r="H7" s="4" t="s">
        <v>5</v>
      </c>
      <c r="I7" s="4" t="s">
        <v>6</v>
      </c>
      <c r="J7" s="4" t="s">
        <v>42</v>
      </c>
      <c r="K7" s="4" t="s">
        <v>43</v>
      </c>
      <c r="L7" s="4"/>
    </row>
    <row r="8" customFormat="false" ht="15" hidden="false" customHeight="false" outlineLevel="0" collapsed="false">
      <c r="A8" s="4" t="s">
        <v>59</v>
      </c>
      <c r="B8" s="4" t="s">
        <v>60</v>
      </c>
      <c r="C8" s="4" t="s">
        <v>61</v>
      </c>
      <c r="D8" s="7" t="n">
        <v>22.4</v>
      </c>
      <c r="E8" s="7" t="n">
        <v>22.4</v>
      </c>
      <c r="F8" s="7" t="n">
        <v>22.4</v>
      </c>
      <c r="G8" s="7" t="n">
        <f aca="false">IF(AND(ISNUMBER(E8),ISNUMBER(D8)),E8-D8,"")</f>
        <v>0</v>
      </c>
      <c r="H8" s="4" t="s">
        <v>5</v>
      </c>
      <c r="I8" s="4" t="s">
        <v>6</v>
      </c>
      <c r="J8" s="4" t="s">
        <v>42</v>
      </c>
      <c r="K8" s="4" t="s">
        <v>43</v>
      </c>
      <c r="L8" s="4"/>
    </row>
    <row r="9" customFormat="false" ht="15" hidden="false" customHeight="false" outlineLevel="0" collapsed="false">
      <c r="A9" s="4" t="s">
        <v>62</v>
      </c>
      <c r="B9" s="4" t="s">
        <v>63</v>
      </c>
      <c r="C9" s="4" t="s">
        <v>64</v>
      </c>
      <c r="D9" s="7" t="n">
        <v>30.8</v>
      </c>
      <c r="E9" s="7" t="n">
        <v>30.8</v>
      </c>
      <c r="F9" s="7" t="n">
        <v>30.8</v>
      </c>
      <c r="G9" s="7" t="n">
        <f aca="false">IF(AND(ISNUMBER(E9),ISNUMBER(D9)),E9-D9,"")</f>
        <v>0</v>
      </c>
      <c r="H9" s="4" t="s">
        <v>5</v>
      </c>
      <c r="I9" s="4" t="s">
        <v>6</v>
      </c>
      <c r="J9" s="4" t="s">
        <v>42</v>
      </c>
      <c r="K9" s="4" t="s">
        <v>43</v>
      </c>
      <c r="L9" s="4"/>
    </row>
    <row r="10" customFormat="false" ht="15" hidden="false" customHeight="false" outlineLevel="0" collapsed="false">
      <c r="A10" s="4" t="s">
        <v>65</v>
      </c>
      <c r="B10" s="4" t="s">
        <v>66</v>
      </c>
      <c r="C10" s="4" t="s">
        <v>67</v>
      </c>
      <c r="D10" s="7" t="n">
        <v>7</v>
      </c>
      <c r="E10" s="7" t="n">
        <v>7</v>
      </c>
      <c r="F10" s="7" t="n">
        <v>7</v>
      </c>
      <c r="G10" s="7" t="n">
        <f aca="false">IF(AND(ISNUMBER(E10),ISNUMBER(D10)),E10-D10,"")</f>
        <v>0</v>
      </c>
      <c r="H10" s="4" t="s">
        <v>5</v>
      </c>
      <c r="I10" s="4" t="s">
        <v>6</v>
      </c>
      <c r="J10" s="4" t="s">
        <v>42</v>
      </c>
      <c r="K10" s="4" t="s">
        <v>43</v>
      </c>
      <c r="L10" s="4"/>
    </row>
    <row r="11" customFormat="false" ht="15" hidden="false" customHeight="false" outlineLevel="0" collapsed="false">
      <c r="A11" s="4" t="s">
        <v>68</v>
      </c>
      <c r="B11" s="4" t="s">
        <v>69</v>
      </c>
      <c r="C11" s="4" t="s">
        <v>70</v>
      </c>
      <c r="D11" s="7" t="n">
        <v>308</v>
      </c>
      <c r="E11" s="7" t="n">
        <v>308</v>
      </c>
      <c r="F11" s="7" t="n">
        <v>308</v>
      </c>
      <c r="G11" s="7" t="n">
        <f aca="false">IF(AND(ISNUMBER(E11),ISNUMBER(D11)),E11-D11,"")</f>
        <v>0</v>
      </c>
      <c r="H11" s="4" t="s">
        <v>5</v>
      </c>
      <c r="I11" s="4" t="s">
        <v>6</v>
      </c>
      <c r="J11" s="4" t="s">
        <v>42</v>
      </c>
      <c r="K11" s="4" t="s">
        <v>43</v>
      </c>
      <c r="L11" s="4"/>
    </row>
    <row r="12" customFormat="false" ht="15" hidden="false" customHeight="false" outlineLevel="0" collapsed="false">
      <c r="A12" s="4" t="s">
        <v>71</v>
      </c>
      <c r="B12" s="4" t="s">
        <v>72</v>
      </c>
      <c r="C12" s="4" t="s">
        <v>73</v>
      </c>
      <c r="D12" s="7" t="n">
        <v>288</v>
      </c>
      <c r="E12" s="7" t="n">
        <v>288</v>
      </c>
      <c r="F12" s="7" t="n">
        <v>288</v>
      </c>
      <c r="G12" s="7" t="n">
        <f aca="false">IF(AND(ISNUMBER(E12),ISNUMBER(D12)),E12-D12,"")</f>
        <v>0</v>
      </c>
      <c r="H12" s="4" t="s">
        <v>5</v>
      </c>
      <c r="I12" s="4" t="s">
        <v>6</v>
      </c>
      <c r="J12" s="4" t="s">
        <v>42</v>
      </c>
      <c r="K12" s="4" t="s">
        <v>43</v>
      </c>
      <c r="L12" s="4"/>
    </row>
    <row r="13" customFormat="false" ht="15" hidden="false" customHeight="false" outlineLevel="0" collapsed="false">
      <c r="A13" s="4" t="s">
        <v>74</v>
      </c>
      <c r="B13" s="4" t="s">
        <v>75</v>
      </c>
      <c r="C13" s="4" t="s">
        <v>76</v>
      </c>
      <c r="D13" s="7" t="n">
        <v>435</v>
      </c>
      <c r="E13" s="7" t="n">
        <v>435</v>
      </c>
      <c r="F13" s="7" t="n">
        <v>435</v>
      </c>
      <c r="G13" s="7" t="n">
        <f aca="false">IF(AND(ISNUMBER(E13),ISNUMBER(D13)),E13-D13,"")</f>
        <v>0</v>
      </c>
      <c r="H13" s="4" t="s">
        <v>5</v>
      </c>
      <c r="I13" s="4" t="s">
        <v>6</v>
      </c>
      <c r="J13" s="4" t="s">
        <v>42</v>
      </c>
      <c r="K13" s="4" t="s">
        <v>43</v>
      </c>
      <c r="L13" s="4"/>
    </row>
    <row r="14" customFormat="false" ht="15" hidden="false" customHeight="false" outlineLevel="0" collapsed="false">
      <c r="A14" s="4" t="s">
        <v>77</v>
      </c>
      <c r="B14" s="4" t="s">
        <v>78</v>
      </c>
      <c r="C14" s="4" t="s">
        <v>79</v>
      </c>
      <c r="D14" s="7" t="n">
        <v>5.6</v>
      </c>
      <c r="E14" s="7" t="n">
        <v>5.6</v>
      </c>
      <c r="F14" s="7" t="n">
        <v>5.6</v>
      </c>
      <c r="G14" s="7" t="n">
        <f aca="false">IF(AND(ISNUMBER(E14),ISNUMBER(D14)),E14-D14,"")</f>
        <v>0</v>
      </c>
      <c r="H14" s="4" t="s">
        <v>5</v>
      </c>
      <c r="I14" s="4" t="s">
        <v>6</v>
      </c>
      <c r="J14" s="4" t="s">
        <v>42</v>
      </c>
      <c r="K14" s="4" t="s">
        <v>43</v>
      </c>
      <c r="L14" s="4"/>
    </row>
    <row r="15" customFormat="false" ht="15" hidden="false" customHeight="false" outlineLevel="0" collapsed="false">
      <c r="A15" s="4" t="s">
        <v>80</v>
      </c>
      <c r="B15" s="4" t="s">
        <v>81</v>
      </c>
      <c r="C15" s="4" t="s">
        <v>82</v>
      </c>
      <c r="D15" s="7" t="n">
        <v>8.4</v>
      </c>
      <c r="E15" s="7" t="n">
        <v>8.4</v>
      </c>
      <c r="F15" s="7" t="n">
        <v>8.4</v>
      </c>
      <c r="G15" s="7" t="n">
        <f aca="false">IF(AND(ISNUMBER(E15),ISNUMBER(D15)),E15-D15,"")</f>
        <v>0</v>
      </c>
      <c r="H15" s="4" t="s">
        <v>5</v>
      </c>
      <c r="I15" s="4" t="s">
        <v>6</v>
      </c>
      <c r="J15" s="4" t="s">
        <v>42</v>
      </c>
      <c r="K15" s="4" t="s">
        <v>43</v>
      </c>
      <c r="L15" s="4"/>
    </row>
    <row r="16" customFormat="false" ht="15" hidden="false" customHeight="false" outlineLevel="0" collapsed="false">
      <c r="A16" s="4" t="s">
        <v>83</v>
      </c>
      <c r="B16" s="4" t="s">
        <v>84</v>
      </c>
      <c r="C16" s="4" t="s">
        <v>85</v>
      </c>
      <c r="D16" s="7" t="n">
        <v>46.5</v>
      </c>
      <c r="E16" s="7" t="n">
        <v>46.5</v>
      </c>
      <c r="F16" s="7" t="n">
        <v>46.5</v>
      </c>
      <c r="G16" s="7" t="n">
        <f aca="false">IF(AND(ISNUMBER(E16),ISNUMBER(D16)),E16-D16,"")</f>
        <v>0</v>
      </c>
      <c r="H16" s="4" t="s">
        <v>5</v>
      </c>
      <c r="I16" s="4" t="s">
        <v>6</v>
      </c>
      <c r="J16" s="4" t="s">
        <v>42</v>
      </c>
      <c r="K16" s="4" t="s">
        <v>43</v>
      </c>
      <c r="L16" s="4"/>
    </row>
    <row r="17" customFormat="false" ht="15" hidden="false" customHeight="false" outlineLevel="0" collapsed="false">
      <c r="A17" s="4" t="s">
        <v>86</v>
      </c>
      <c r="B17" s="4" t="s">
        <v>87</v>
      </c>
      <c r="C17" s="4" t="s">
        <v>88</v>
      </c>
      <c r="D17" s="7" t="n">
        <v>3.5</v>
      </c>
      <c r="E17" s="7" t="n">
        <v>3.5</v>
      </c>
      <c r="F17" s="7" t="n">
        <v>3.5</v>
      </c>
      <c r="G17" s="7" t="n">
        <f aca="false">IF(AND(ISNUMBER(E17),ISNUMBER(D17)),E17-D17,"")</f>
        <v>0</v>
      </c>
      <c r="H17" s="4" t="s">
        <v>5</v>
      </c>
      <c r="I17" s="4" t="s">
        <v>6</v>
      </c>
      <c r="J17" s="4" t="s">
        <v>42</v>
      </c>
      <c r="K17" s="4" t="s">
        <v>43</v>
      </c>
      <c r="L17" s="4"/>
    </row>
    <row r="18" customFormat="false" ht="15" hidden="false" customHeight="false" outlineLevel="0" collapsed="false">
      <c r="A18" s="4" t="s">
        <v>89</v>
      </c>
      <c r="B18" s="4" t="s">
        <v>90</v>
      </c>
      <c r="C18" s="4" t="s">
        <v>91</v>
      </c>
      <c r="D18" s="7" t="n">
        <v>290</v>
      </c>
      <c r="E18" s="7" t="n">
        <v>290</v>
      </c>
      <c r="F18" s="7" t="n">
        <v>290</v>
      </c>
      <c r="G18" s="7" t="n">
        <f aca="false">IF(AND(ISNUMBER(E18),ISNUMBER(D18)),E18-D18,"")</f>
        <v>0</v>
      </c>
      <c r="H18" s="4" t="s">
        <v>5</v>
      </c>
      <c r="I18" s="4" t="s">
        <v>6</v>
      </c>
      <c r="J18" s="4" t="s">
        <v>42</v>
      </c>
      <c r="K18" s="4" t="s">
        <v>43</v>
      </c>
      <c r="L18" s="4"/>
    </row>
    <row r="19" customFormat="false" ht="15" hidden="false" customHeight="false" outlineLevel="0" collapsed="false">
      <c r="A19" s="4" t="s">
        <v>92</v>
      </c>
      <c r="B19" s="4" t="s">
        <v>93</v>
      </c>
      <c r="C19" s="4" t="s">
        <v>94</v>
      </c>
      <c r="D19" s="7" t="n">
        <v>462</v>
      </c>
      <c r="E19" s="7" t="n">
        <v>462</v>
      </c>
      <c r="F19" s="7" t="n">
        <v>462</v>
      </c>
      <c r="G19" s="7" t="n">
        <f aca="false">IF(AND(ISNUMBER(E19),ISNUMBER(D19)),E19-D19,"")</f>
        <v>0</v>
      </c>
      <c r="H19" s="4" t="s">
        <v>5</v>
      </c>
      <c r="I19" s="4" t="s">
        <v>6</v>
      </c>
      <c r="J19" s="4" t="s">
        <v>42</v>
      </c>
      <c r="K19" s="4" t="s">
        <v>43</v>
      </c>
      <c r="L19" s="4"/>
    </row>
    <row r="20" customFormat="false" ht="15" hidden="false" customHeight="false" outlineLevel="0" collapsed="false">
      <c r="A20" s="4" t="s">
        <v>95</v>
      </c>
      <c r="B20" s="4" t="s">
        <v>96</v>
      </c>
      <c r="C20" s="4" t="s">
        <v>97</v>
      </c>
      <c r="D20" s="7" t="n">
        <v>216</v>
      </c>
      <c r="E20" s="7" t="n">
        <v>216</v>
      </c>
      <c r="F20" s="7" t="n">
        <v>216</v>
      </c>
      <c r="G20" s="7" t="n">
        <f aca="false">IF(AND(ISNUMBER(E20),ISNUMBER(D20)),E20-D20,"")</f>
        <v>0</v>
      </c>
      <c r="H20" s="4" t="s">
        <v>5</v>
      </c>
      <c r="I20" s="4" t="s">
        <v>6</v>
      </c>
      <c r="J20" s="4" t="s">
        <v>42</v>
      </c>
      <c r="K20" s="4" t="s">
        <v>43</v>
      </c>
      <c r="L20" s="4"/>
    </row>
    <row r="21" customFormat="false" ht="15" hidden="false" customHeight="false" outlineLevel="0" collapsed="false">
      <c r="A21" s="4" t="s">
        <v>98</v>
      </c>
      <c r="B21" s="4" t="s">
        <v>99</v>
      </c>
      <c r="C21" s="4" t="s">
        <v>100</v>
      </c>
      <c r="D21" s="7" t="n">
        <v>54.6</v>
      </c>
      <c r="E21" s="7" t="n">
        <v>54.6</v>
      </c>
      <c r="F21" s="7" t="n">
        <v>54.6</v>
      </c>
      <c r="G21" s="7" t="n">
        <f aca="false">IF(AND(ISNUMBER(E21),ISNUMBER(D21)),E21-D21,"")</f>
        <v>0</v>
      </c>
      <c r="H21" s="4" t="s">
        <v>5</v>
      </c>
      <c r="I21" s="4" t="s">
        <v>6</v>
      </c>
      <c r="J21" s="4" t="s">
        <v>42</v>
      </c>
      <c r="K21" s="4" t="s">
        <v>43</v>
      </c>
      <c r="L21" s="4"/>
    </row>
    <row r="22" customFormat="false" ht="15" hidden="false" customHeight="false" outlineLevel="0" collapsed="false">
      <c r="A22" s="4" t="s">
        <v>101</v>
      </c>
      <c r="B22" s="4" t="s">
        <v>102</v>
      </c>
      <c r="C22" s="4" t="s">
        <v>103</v>
      </c>
      <c r="D22" s="7" t="n">
        <v>78.4</v>
      </c>
      <c r="E22" s="7" t="n">
        <v>78.4</v>
      </c>
      <c r="F22" s="7" t="n">
        <v>78.4</v>
      </c>
      <c r="G22" s="7" t="n">
        <f aca="false">IF(AND(ISNUMBER(E22),ISNUMBER(D22)),E22-D22,"")</f>
        <v>0</v>
      </c>
      <c r="H22" s="4" t="s">
        <v>5</v>
      </c>
      <c r="I22" s="4" t="s">
        <v>6</v>
      </c>
      <c r="J22" s="4" t="s">
        <v>42</v>
      </c>
      <c r="K22" s="4" t="s">
        <v>43</v>
      </c>
      <c r="L22" s="4"/>
    </row>
    <row r="23" customFormat="false" ht="15" hidden="false" customHeight="false" outlineLevel="0" collapsed="false">
      <c r="A23" s="4" t="s">
        <v>104</v>
      </c>
      <c r="B23" s="4" t="s">
        <v>105</v>
      </c>
      <c r="C23" s="4" t="s">
        <v>106</v>
      </c>
      <c r="D23" s="7" t="n">
        <v>52.7</v>
      </c>
      <c r="E23" s="7" t="n">
        <v>52.7</v>
      </c>
      <c r="F23" s="7" t="n">
        <v>52.7</v>
      </c>
      <c r="G23" s="7" t="n">
        <f aca="false">IF(AND(ISNUMBER(E23),ISNUMBER(D23)),E23-D23,"")</f>
        <v>0</v>
      </c>
      <c r="H23" s="4" t="s">
        <v>5</v>
      </c>
      <c r="I23" s="4" t="s">
        <v>6</v>
      </c>
      <c r="J23" s="4" t="s">
        <v>42</v>
      </c>
      <c r="K23" s="4" t="s">
        <v>43</v>
      </c>
      <c r="L23" s="4"/>
    </row>
    <row r="24" customFormat="false" ht="15" hidden="false" customHeight="false" outlineLevel="0" collapsed="false">
      <c r="A24" s="4" t="s">
        <v>107</v>
      </c>
      <c r="B24" s="4" t="s">
        <v>108</v>
      </c>
      <c r="C24" s="4" t="s">
        <v>109</v>
      </c>
      <c r="D24" s="7" t="n">
        <v>56</v>
      </c>
      <c r="E24" s="7" t="n">
        <v>56</v>
      </c>
      <c r="F24" s="7" t="n">
        <v>56</v>
      </c>
      <c r="G24" s="7" t="n">
        <f aca="false">IF(AND(ISNUMBER(E24),ISNUMBER(D24)),E24-D24,"")</f>
        <v>0</v>
      </c>
      <c r="H24" s="4" t="s">
        <v>5</v>
      </c>
      <c r="I24" s="4" t="s">
        <v>6</v>
      </c>
      <c r="J24" s="4" t="s">
        <v>42</v>
      </c>
      <c r="K24" s="4" t="s">
        <v>43</v>
      </c>
      <c r="L24" s="4"/>
    </row>
    <row r="25" customFormat="false" ht="15" hidden="false" customHeight="false" outlineLevel="0" collapsed="false">
      <c r="A25" s="4" t="s">
        <v>110</v>
      </c>
      <c r="B25" s="4" t="s">
        <v>111</v>
      </c>
      <c r="C25" s="4" t="s">
        <v>112</v>
      </c>
      <c r="D25" s="7" t="n">
        <v>77</v>
      </c>
      <c r="E25" s="7" t="n">
        <v>77</v>
      </c>
      <c r="F25" s="7" t="n">
        <v>77</v>
      </c>
      <c r="G25" s="7" t="n">
        <f aca="false">IF(AND(ISNUMBER(E25),ISNUMBER(D25)),E25-D25,"")</f>
        <v>0</v>
      </c>
      <c r="H25" s="4" t="s">
        <v>5</v>
      </c>
      <c r="I25" s="4" t="s">
        <v>6</v>
      </c>
      <c r="J25" s="4" t="s">
        <v>42</v>
      </c>
      <c r="K25" s="4" t="s">
        <v>43</v>
      </c>
      <c r="L25" s="4"/>
    </row>
    <row r="26" customFormat="false" ht="15" hidden="false" customHeight="false" outlineLevel="0" collapsed="false">
      <c r="A26" s="4" t="s">
        <v>113</v>
      </c>
      <c r="B26" s="4" t="s">
        <v>114</v>
      </c>
      <c r="C26" s="4" t="s">
        <v>115</v>
      </c>
      <c r="D26" s="7" t="n">
        <v>5.25</v>
      </c>
      <c r="E26" s="7" t="n">
        <v>5.25</v>
      </c>
      <c r="F26" s="7" t="n">
        <v>5.25</v>
      </c>
      <c r="G26" s="7" t="n">
        <f aca="false">IF(AND(ISNUMBER(E26),ISNUMBER(D26)),E26-D26,"")</f>
        <v>0</v>
      </c>
      <c r="H26" s="4" t="s">
        <v>5</v>
      </c>
      <c r="I26" s="4" t="s">
        <v>6</v>
      </c>
      <c r="J26" s="4" t="s">
        <v>42</v>
      </c>
      <c r="K26" s="4" t="s">
        <v>43</v>
      </c>
      <c r="L26" s="4"/>
    </row>
    <row r="27" customFormat="false" ht="15" hidden="false" customHeight="false" outlineLevel="0" collapsed="false">
      <c r="A27" s="4" t="s">
        <v>116</v>
      </c>
      <c r="B27" s="4" t="s">
        <v>117</v>
      </c>
      <c r="C27" s="4" t="s">
        <v>118</v>
      </c>
      <c r="D27" s="7" t="n">
        <v>37.8</v>
      </c>
      <c r="E27" s="7" t="n">
        <v>37.8</v>
      </c>
      <c r="F27" s="7" t="n">
        <v>37.8</v>
      </c>
      <c r="G27" s="7" t="n">
        <f aca="false">IF(AND(ISNUMBER(E27),ISNUMBER(D27)),E27-D27,"")</f>
        <v>0</v>
      </c>
      <c r="H27" s="4" t="s">
        <v>5</v>
      </c>
      <c r="I27" s="4" t="s">
        <v>6</v>
      </c>
      <c r="J27" s="4" t="s">
        <v>42</v>
      </c>
      <c r="K27" s="4" t="s">
        <v>43</v>
      </c>
      <c r="L27" s="4"/>
    </row>
    <row r="28" customFormat="false" ht="15" hidden="false" customHeight="false" outlineLevel="0" collapsed="false">
      <c r="A28" s="4" t="s">
        <v>119</v>
      </c>
      <c r="B28" s="4" t="s">
        <v>120</v>
      </c>
      <c r="C28" s="4" t="s">
        <v>121</v>
      </c>
      <c r="D28" s="7" t="n">
        <v>264</v>
      </c>
      <c r="E28" s="7" t="n">
        <v>264</v>
      </c>
      <c r="F28" s="7" t="n">
        <v>264</v>
      </c>
      <c r="G28" s="7" t="n">
        <f aca="false">IF(AND(ISNUMBER(E28),ISNUMBER(D28)),E28-D28,"")</f>
        <v>0</v>
      </c>
      <c r="H28" s="4" t="s">
        <v>5</v>
      </c>
      <c r="I28" s="4" t="s">
        <v>6</v>
      </c>
      <c r="J28" s="4" t="s">
        <v>42</v>
      </c>
      <c r="K28" s="4" t="s">
        <v>43</v>
      </c>
      <c r="L28" s="4"/>
    </row>
    <row r="29" customFormat="false" ht="15" hidden="false" customHeight="false" outlineLevel="0" collapsed="false">
      <c r="A29" s="4" t="s">
        <v>122</v>
      </c>
      <c r="B29" s="4" t="s">
        <v>123</v>
      </c>
      <c r="C29" s="4" t="s">
        <v>124</v>
      </c>
      <c r="D29" s="7" t="n">
        <v>7</v>
      </c>
      <c r="E29" s="7" t="n">
        <v>7</v>
      </c>
      <c r="F29" s="7" t="n">
        <v>7</v>
      </c>
      <c r="G29" s="7" t="n">
        <f aca="false">IF(AND(ISNUMBER(E29),ISNUMBER(D29)),E29-D29,"")</f>
        <v>0</v>
      </c>
      <c r="H29" s="4" t="s">
        <v>5</v>
      </c>
      <c r="I29" s="4" t="s">
        <v>6</v>
      </c>
      <c r="J29" s="4" t="s">
        <v>42</v>
      </c>
      <c r="K29" s="4" t="s">
        <v>43</v>
      </c>
      <c r="L29" s="4"/>
    </row>
    <row r="30" customFormat="false" ht="15" hidden="false" customHeight="false" outlineLevel="0" collapsed="false">
      <c r="A30" s="4" t="s">
        <v>125</v>
      </c>
      <c r="B30" s="4" t="s">
        <v>126</v>
      </c>
      <c r="C30" s="4" t="s">
        <v>127</v>
      </c>
      <c r="D30" s="7" t="n">
        <v>120</v>
      </c>
      <c r="E30" s="7" t="n">
        <v>120</v>
      </c>
      <c r="F30" s="7" t="n">
        <v>120</v>
      </c>
      <c r="G30" s="7" t="n">
        <f aca="false">IF(AND(ISNUMBER(E30),ISNUMBER(D30)),E30-D30,"")</f>
        <v>0</v>
      </c>
      <c r="H30" s="4" t="s">
        <v>5</v>
      </c>
      <c r="I30" s="4" t="s">
        <v>6</v>
      </c>
      <c r="J30" s="4" t="s">
        <v>42</v>
      </c>
      <c r="K30" s="4" t="s">
        <v>43</v>
      </c>
      <c r="L30" s="4"/>
    </row>
    <row r="31" customFormat="false" ht="15" hidden="false" customHeight="false" outlineLevel="0" collapsed="false">
      <c r="A31" s="4" t="s">
        <v>128</v>
      </c>
      <c r="B31" s="4" t="s">
        <v>129</v>
      </c>
      <c r="C31" s="4" t="s">
        <v>130</v>
      </c>
      <c r="D31" s="7" t="n">
        <v>12.6</v>
      </c>
      <c r="E31" s="7" t="n">
        <v>12.6</v>
      </c>
      <c r="F31" s="7" t="n">
        <v>12.6</v>
      </c>
      <c r="G31" s="7" t="n">
        <f aca="false">IF(AND(ISNUMBER(E31),ISNUMBER(D31)),E31-D31,"")</f>
        <v>0</v>
      </c>
      <c r="H31" s="4" t="s">
        <v>5</v>
      </c>
      <c r="I31" s="4" t="s">
        <v>6</v>
      </c>
      <c r="J31" s="4" t="s">
        <v>42</v>
      </c>
      <c r="K31" s="4" t="s">
        <v>43</v>
      </c>
      <c r="L31" s="4"/>
    </row>
    <row r="32" customFormat="false" ht="15" hidden="false" customHeight="false" outlineLevel="0" collapsed="false">
      <c r="A32" s="4" t="s">
        <v>131</v>
      </c>
      <c r="B32" s="4" t="s">
        <v>132</v>
      </c>
      <c r="C32" s="4" t="s">
        <v>133</v>
      </c>
      <c r="D32" s="7" t="n">
        <v>589</v>
      </c>
      <c r="E32" s="7" t="n">
        <v>589.25</v>
      </c>
      <c r="F32" s="7" t="n">
        <v>589</v>
      </c>
      <c r="G32" s="7" t="n">
        <f aca="false">IF(AND(ISNUMBER(E32),ISNUMBER(D32)),E32-D32,"")</f>
        <v>0.25</v>
      </c>
      <c r="H32" s="4" t="s">
        <v>7</v>
      </c>
      <c r="I32" s="4" t="s">
        <v>6</v>
      </c>
      <c r="J32" s="4" t="s">
        <v>134</v>
      </c>
      <c r="K32" s="4" t="s">
        <v>135</v>
      </c>
      <c r="L32" s="4" t="s">
        <v>136</v>
      </c>
    </row>
    <row r="33" customFormat="false" ht="15" hidden="false" customHeight="false" outlineLevel="0" collapsed="false">
      <c r="A33" s="4" t="s">
        <v>137</v>
      </c>
      <c r="B33" s="4" t="s">
        <v>138</v>
      </c>
      <c r="C33" s="4" t="s">
        <v>139</v>
      </c>
      <c r="D33" s="7" t="n">
        <v>5.6</v>
      </c>
      <c r="E33" s="7" t="n">
        <v>5.85</v>
      </c>
      <c r="F33" s="7" t="n">
        <v>5.6</v>
      </c>
      <c r="G33" s="7" t="n">
        <f aca="false">IF(AND(ISNUMBER(E33),ISNUMBER(D33)),E33-D33,"")</f>
        <v>0.25</v>
      </c>
      <c r="H33" s="4" t="s">
        <v>7</v>
      </c>
      <c r="I33" s="4" t="s">
        <v>6</v>
      </c>
      <c r="J33" s="4" t="s">
        <v>134</v>
      </c>
      <c r="K33" s="4" t="s">
        <v>135</v>
      </c>
      <c r="L33" s="4" t="s">
        <v>136</v>
      </c>
    </row>
    <row r="34" customFormat="false" ht="15" hidden="false" customHeight="false" outlineLevel="0" collapsed="false">
      <c r="A34" s="4" t="s">
        <v>140</v>
      </c>
      <c r="B34" s="4" t="s">
        <v>141</v>
      </c>
      <c r="C34" s="4" t="s">
        <v>142</v>
      </c>
      <c r="D34" s="7" t="n">
        <v>279</v>
      </c>
      <c r="E34" s="7" t="n">
        <v>279.4</v>
      </c>
      <c r="F34" s="7" t="n">
        <v>279</v>
      </c>
      <c r="G34" s="7" t="n">
        <f aca="false">IF(AND(ISNUMBER(E34),ISNUMBER(D34)),E34-D34,"")</f>
        <v>0.399999999999977</v>
      </c>
      <c r="H34" s="4" t="s">
        <v>7</v>
      </c>
      <c r="I34" s="4" t="s">
        <v>6</v>
      </c>
      <c r="J34" s="4" t="s">
        <v>134</v>
      </c>
      <c r="K34" s="4" t="s">
        <v>135</v>
      </c>
      <c r="L34" s="4" t="s">
        <v>143</v>
      </c>
    </row>
    <row r="35" customFormat="false" ht="15" hidden="false" customHeight="false" outlineLevel="0" collapsed="false">
      <c r="A35" s="4" t="s">
        <v>144</v>
      </c>
      <c r="B35" s="4" t="s">
        <v>145</v>
      </c>
      <c r="C35" s="4" t="s">
        <v>146</v>
      </c>
      <c r="D35" s="7" t="n">
        <v>77</v>
      </c>
      <c r="E35" s="7" t="n">
        <v>77</v>
      </c>
      <c r="F35" s="7" t="n">
        <v>77</v>
      </c>
      <c r="G35" s="7" t="n">
        <f aca="false">IF(AND(ISNUMBER(E35),ISNUMBER(D35)),E35-D35,"")</f>
        <v>0</v>
      </c>
      <c r="H35" s="4" t="s">
        <v>8</v>
      </c>
      <c r="I35" s="4" t="s">
        <v>6</v>
      </c>
      <c r="J35" s="4" t="s">
        <v>147</v>
      </c>
      <c r="K35" s="4" t="s">
        <v>148</v>
      </c>
      <c r="L35" s="4"/>
    </row>
    <row r="36" customFormat="false" ht="15" hidden="false" customHeight="false" outlineLevel="0" collapsed="false">
      <c r="A36" s="4" t="s">
        <v>149</v>
      </c>
      <c r="B36" s="4" t="s">
        <v>150</v>
      </c>
      <c r="C36" s="4" t="s">
        <v>151</v>
      </c>
      <c r="D36" s="7" t="n">
        <v>62</v>
      </c>
      <c r="E36" s="7" t="n">
        <v>62</v>
      </c>
      <c r="F36" s="7" t="n">
        <v>62</v>
      </c>
      <c r="G36" s="7" t="n">
        <f aca="false">IF(AND(ISNUMBER(E36),ISNUMBER(D36)),E36-D36,"")</f>
        <v>0</v>
      </c>
      <c r="H36" s="4" t="s">
        <v>8</v>
      </c>
      <c r="I36" s="4" t="s">
        <v>6</v>
      </c>
      <c r="J36" s="4" t="s">
        <v>147</v>
      </c>
      <c r="K36" s="4" t="s">
        <v>148</v>
      </c>
      <c r="L36" s="4"/>
    </row>
    <row r="37" customFormat="false" ht="15" hidden="false" customHeight="false" outlineLevel="0" collapsed="false">
      <c r="A37" s="4" t="s">
        <v>152</v>
      </c>
      <c r="B37" s="4" t="s">
        <v>153</v>
      </c>
      <c r="C37" s="4" t="s">
        <v>154</v>
      </c>
      <c r="D37" s="7" t="n">
        <v>115.5</v>
      </c>
      <c r="E37" s="7" t="n">
        <v>115.5</v>
      </c>
      <c r="F37" s="7" t="n">
        <v>115.5</v>
      </c>
      <c r="G37" s="7" t="n">
        <f aca="false">IF(AND(ISNUMBER(E37),ISNUMBER(D37)),E37-D37,"")</f>
        <v>0</v>
      </c>
      <c r="H37" s="4" t="s">
        <v>8</v>
      </c>
      <c r="I37" s="4" t="s">
        <v>6</v>
      </c>
      <c r="J37" s="4" t="s">
        <v>147</v>
      </c>
      <c r="K37" s="4" t="s">
        <v>148</v>
      </c>
      <c r="L37" s="4"/>
    </row>
    <row r="38" customFormat="false" ht="15" hidden="false" customHeight="false" outlineLevel="0" collapsed="false">
      <c r="A38" s="4" t="s">
        <v>155</v>
      </c>
      <c r="B38" s="4" t="s">
        <v>156</v>
      </c>
      <c r="C38" s="4" t="s">
        <v>157</v>
      </c>
      <c r="D38" s="7" t="n">
        <v>37.8</v>
      </c>
      <c r="E38" s="7" t="n">
        <v>37.8</v>
      </c>
      <c r="F38" s="7" t="n">
        <v>37.8</v>
      </c>
      <c r="G38" s="7" t="n">
        <f aca="false">IF(AND(ISNUMBER(E38),ISNUMBER(D38)),E38-D38,"")</f>
        <v>0</v>
      </c>
      <c r="H38" s="4" t="s">
        <v>9</v>
      </c>
      <c r="I38" s="4" t="s">
        <v>10</v>
      </c>
      <c r="J38" s="4" t="s">
        <v>158</v>
      </c>
      <c r="K38" s="4" t="s">
        <v>159</v>
      </c>
      <c r="L38" s="4" t="s">
        <v>160</v>
      </c>
    </row>
    <row r="39" customFormat="false" ht="15" hidden="false" customHeight="false" outlineLevel="0" collapsed="false">
      <c r="A39" s="4" t="s">
        <v>161</v>
      </c>
      <c r="B39" s="4" t="s">
        <v>162</v>
      </c>
      <c r="C39" s="4" t="s">
        <v>163</v>
      </c>
      <c r="D39" s="7" t="n">
        <v>37.8</v>
      </c>
      <c r="E39" s="7" t="n">
        <v>37.8</v>
      </c>
      <c r="F39" s="7" t="n">
        <v>37.8</v>
      </c>
      <c r="G39" s="7" t="n">
        <f aca="false">IF(AND(ISNUMBER(E39),ISNUMBER(D39)),E39-D39,"")</f>
        <v>0</v>
      </c>
      <c r="H39" s="4" t="s">
        <v>9</v>
      </c>
      <c r="I39" s="4" t="s">
        <v>10</v>
      </c>
      <c r="J39" s="4" t="s">
        <v>158</v>
      </c>
      <c r="K39" s="4" t="s">
        <v>159</v>
      </c>
      <c r="L39" s="4" t="s">
        <v>160</v>
      </c>
    </row>
    <row r="40" customFormat="false" ht="15" hidden="false" customHeight="false" outlineLevel="0" collapsed="false">
      <c r="A40" s="4" t="s">
        <v>164</v>
      </c>
      <c r="B40" s="4" t="s">
        <v>165</v>
      </c>
      <c r="C40" s="4" t="s">
        <v>166</v>
      </c>
      <c r="D40" s="7" t="n">
        <v>435</v>
      </c>
      <c r="E40" s="7" t="n">
        <v>435</v>
      </c>
      <c r="F40" s="7" t="n">
        <v>435</v>
      </c>
      <c r="G40" s="7" t="n">
        <f aca="false">IF(AND(ISNUMBER(E40),ISNUMBER(D40)),E40-D40,"")</f>
        <v>0</v>
      </c>
      <c r="H40" s="4" t="s">
        <v>9</v>
      </c>
      <c r="I40" s="4" t="s">
        <v>10</v>
      </c>
      <c r="J40" s="4" t="s">
        <v>158</v>
      </c>
      <c r="K40" s="4" t="s">
        <v>167</v>
      </c>
      <c r="L40" s="4" t="s">
        <v>168</v>
      </c>
    </row>
    <row r="41" customFormat="false" ht="15" hidden="false" customHeight="false" outlineLevel="0" collapsed="false">
      <c r="A41" s="4" t="s">
        <v>169</v>
      </c>
      <c r="B41" s="4" t="s">
        <v>170</v>
      </c>
      <c r="C41" s="4" t="s">
        <v>171</v>
      </c>
      <c r="D41" s="7" t="n">
        <v>576</v>
      </c>
      <c r="E41" s="7" t="n">
        <v>576</v>
      </c>
      <c r="F41" s="7" t="n">
        <v>576</v>
      </c>
      <c r="G41" s="7" t="n">
        <f aca="false">IF(AND(ISNUMBER(E41),ISNUMBER(D41)),E41-D41,"")</f>
        <v>0</v>
      </c>
      <c r="H41" s="4" t="s">
        <v>9</v>
      </c>
      <c r="I41" s="4" t="s">
        <v>10</v>
      </c>
      <c r="J41" s="4" t="s">
        <v>158</v>
      </c>
      <c r="K41" s="4" t="s">
        <v>172</v>
      </c>
      <c r="L41" s="4" t="s">
        <v>173</v>
      </c>
    </row>
    <row r="42" customFormat="false" ht="15" hidden="false" customHeight="false" outlineLevel="0" collapsed="false">
      <c r="A42" s="4" t="s">
        <v>174</v>
      </c>
      <c r="B42" s="4" t="s">
        <v>175</v>
      </c>
      <c r="C42" s="4" t="s">
        <v>176</v>
      </c>
      <c r="D42" s="7" t="n">
        <v>77</v>
      </c>
      <c r="E42" s="7" t="n">
        <v>27</v>
      </c>
      <c r="F42" s="7" t="n">
        <v>77</v>
      </c>
      <c r="G42" s="7" t="n">
        <f aca="false">IF(AND(ISNUMBER(E42),ISNUMBER(D42)),E42-D42,"")</f>
        <v>-50</v>
      </c>
      <c r="H42" s="4" t="s">
        <v>11</v>
      </c>
      <c r="I42" s="4" t="s">
        <v>12</v>
      </c>
      <c r="J42" s="4" t="s">
        <v>177</v>
      </c>
      <c r="K42" s="4" t="s">
        <v>178</v>
      </c>
      <c r="L42" s="4"/>
    </row>
    <row r="43" customFormat="false" ht="15" hidden="false" customHeight="false" outlineLevel="0" collapsed="false">
      <c r="A43" s="4" t="s">
        <v>179</v>
      </c>
      <c r="B43" s="4" t="s">
        <v>180</v>
      </c>
      <c r="C43" s="4" t="s">
        <v>181</v>
      </c>
      <c r="D43" s="7" t="n">
        <v>145</v>
      </c>
      <c r="E43" s="7" t="n">
        <v>95</v>
      </c>
      <c r="F43" s="7" t="n">
        <v>145</v>
      </c>
      <c r="G43" s="7" t="n">
        <f aca="false">IF(AND(ISNUMBER(E43),ISNUMBER(D43)),E43-D43,"")</f>
        <v>-50</v>
      </c>
      <c r="H43" s="4" t="s">
        <v>11</v>
      </c>
      <c r="I43" s="4" t="s">
        <v>12</v>
      </c>
      <c r="J43" s="4" t="s">
        <v>177</v>
      </c>
      <c r="K43" s="4" t="s">
        <v>178</v>
      </c>
      <c r="L43" s="4"/>
    </row>
    <row r="44" customFormat="false" ht="15" hidden="false" customHeight="false" outlineLevel="0" collapsed="false">
      <c r="A44" s="4" t="s">
        <v>182</v>
      </c>
      <c r="B44" s="4" t="s">
        <v>183</v>
      </c>
      <c r="C44" s="4" t="s">
        <v>184</v>
      </c>
      <c r="D44" s="7" t="n">
        <v>308</v>
      </c>
      <c r="E44" s="7" t="n">
        <v>288</v>
      </c>
      <c r="F44" s="7" t="n">
        <v>308</v>
      </c>
      <c r="G44" s="7" t="n">
        <f aca="false">IF(AND(ISNUMBER(E44),ISNUMBER(D44)),E44-D44,"")</f>
        <v>-20</v>
      </c>
      <c r="H44" s="4" t="s">
        <v>11</v>
      </c>
      <c r="I44" s="4" t="s">
        <v>12</v>
      </c>
      <c r="J44" s="4" t="s">
        <v>177</v>
      </c>
      <c r="K44" s="4" t="s">
        <v>178</v>
      </c>
      <c r="L44" s="4"/>
    </row>
    <row r="45" customFormat="false" ht="15" hidden="false" customHeight="false" outlineLevel="0" collapsed="false">
      <c r="A45" s="4" t="s">
        <v>185</v>
      </c>
      <c r="B45" s="4" t="s">
        <v>186</v>
      </c>
      <c r="C45" s="4" t="s">
        <v>187</v>
      </c>
      <c r="D45" s="7" t="n">
        <v>77</v>
      </c>
      <c r="E45" s="7" t="n">
        <v>115.5</v>
      </c>
      <c r="F45" s="7" t="n">
        <v>77</v>
      </c>
      <c r="G45" s="7" t="n">
        <f aca="false">IF(AND(ISNUMBER(E45),ISNUMBER(D45)),E45-D45,"")</f>
        <v>38.5</v>
      </c>
      <c r="H45" s="4" t="s">
        <v>11</v>
      </c>
      <c r="I45" s="4" t="s">
        <v>12</v>
      </c>
      <c r="J45" s="4" t="s">
        <v>177</v>
      </c>
      <c r="K45" s="4" t="s">
        <v>188</v>
      </c>
      <c r="L45" s="4"/>
    </row>
    <row r="46" customFormat="false" ht="15" hidden="false" customHeight="false" outlineLevel="0" collapsed="false">
      <c r="A46" s="4" t="s">
        <v>189</v>
      </c>
      <c r="B46" s="4" t="s">
        <v>190</v>
      </c>
      <c r="C46" s="4" t="s">
        <v>191</v>
      </c>
      <c r="D46" s="7" t="n">
        <v>6.65</v>
      </c>
      <c r="E46" s="7" t="n">
        <v>6.65</v>
      </c>
      <c r="F46" s="7" t="n">
        <v>31.65</v>
      </c>
      <c r="G46" s="7" t="n">
        <f aca="false">IF(AND(ISNUMBER(E46),ISNUMBER(D46)),E46-D46,"")</f>
        <v>0</v>
      </c>
      <c r="H46" s="4" t="s">
        <v>13</v>
      </c>
      <c r="I46" s="4" t="s">
        <v>12</v>
      </c>
      <c r="J46" s="4" t="s">
        <v>192</v>
      </c>
      <c r="K46" s="4" t="s">
        <v>193</v>
      </c>
      <c r="L46" s="4"/>
    </row>
    <row r="47" customFormat="false" ht="15" hidden="false" customHeight="false" outlineLevel="0" collapsed="false">
      <c r="A47" s="4" t="s">
        <v>194</v>
      </c>
      <c r="B47" s="4" t="s">
        <v>195</v>
      </c>
      <c r="C47" s="4" t="s">
        <v>196</v>
      </c>
      <c r="D47" s="7" t="n">
        <v>89.6</v>
      </c>
      <c r="E47" s="7" t="n">
        <v>89.6</v>
      </c>
      <c r="F47" s="7" t="n">
        <v>86.4</v>
      </c>
      <c r="G47" s="7" t="n">
        <f aca="false">IF(AND(ISNUMBER(E47),ISNUMBER(D47)),E47-D47,"")</f>
        <v>0</v>
      </c>
      <c r="H47" s="4" t="s">
        <v>13</v>
      </c>
      <c r="I47" s="4" t="s">
        <v>12</v>
      </c>
      <c r="J47" s="4" t="s">
        <v>192</v>
      </c>
      <c r="K47" s="4" t="s">
        <v>193</v>
      </c>
      <c r="L47" s="4"/>
    </row>
    <row r="48" customFormat="false" ht="15" hidden="false" customHeight="false" outlineLevel="0" collapsed="false">
      <c r="A48" s="4" t="s">
        <v>197</v>
      </c>
      <c r="B48" s="4"/>
      <c r="C48" s="4" t="s">
        <v>198</v>
      </c>
      <c r="D48" s="7" t="n">
        <v>288</v>
      </c>
      <c r="E48" s="7"/>
      <c r="F48" s="7" t="n">
        <v>288</v>
      </c>
      <c r="G48" s="7"/>
      <c r="H48" s="4" t="s">
        <v>14</v>
      </c>
      <c r="I48" s="4" t="s">
        <v>15</v>
      </c>
      <c r="J48" s="4" t="s">
        <v>199</v>
      </c>
      <c r="K48" s="4" t="s">
        <v>200</v>
      </c>
      <c r="L48" s="4"/>
    </row>
    <row r="49" customFormat="false" ht="15" hidden="false" customHeight="false" outlineLevel="0" collapsed="false">
      <c r="A49" s="4" t="s">
        <v>201</v>
      </c>
      <c r="B49" s="4"/>
      <c r="C49" s="4" t="s">
        <v>202</v>
      </c>
      <c r="D49" s="7" t="n">
        <v>480</v>
      </c>
      <c r="E49" s="7"/>
      <c r="F49" s="7" t="n">
        <v>480</v>
      </c>
      <c r="G49" s="7"/>
      <c r="H49" s="4" t="s">
        <v>14</v>
      </c>
      <c r="I49" s="4" t="s">
        <v>15</v>
      </c>
      <c r="J49" s="4" t="s">
        <v>199</v>
      </c>
      <c r="K49" s="4" t="s">
        <v>200</v>
      </c>
      <c r="L49" s="4"/>
    </row>
    <row r="50" customFormat="false" ht="15" hidden="false" customHeight="false" outlineLevel="0" collapsed="false">
      <c r="A50" s="4" t="s">
        <v>203</v>
      </c>
      <c r="B50" s="4"/>
      <c r="C50" s="4" t="s">
        <v>204</v>
      </c>
      <c r="D50" s="7" t="n">
        <v>290</v>
      </c>
      <c r="E50" s="7"/>
      <c r="F50" s="7" t="n">
        <v>290</v>
      </c>
      <c r="G50" s="7"/>
      <c r="H50" s="4" t="s">
        <v>14</v>
      </c>
      <c r="I50" s="4" t="s">
        <v>15</v>
      </c>
      <c r="J50" s="4" t="s">
        <v>199</v>
      </c>
      <c r="K50" s="4" t="s">
        <v>200</v>
      </c>
      <c r="L50" s="4"/>
    </row>
    <row r="51" customFormat="false" ht="15" hidden="false" customHeight="false" outlineLevel="0" collapsed="false">
      <c r="A51" s="4" t="s">
        <v>205</v>
      </c>
      <c r="B51" s="4"/>
      <c r="C51" s="4" t="s">
        <v>206</v>
      </c>
      <c r="D51" s="7" t="n">
        <v>28</v>
      </c>
      <c r="E51" s="7"/>
      <c r="F51" s="7" t="n">
        <v>28</v>
      </c>
      <c r="G51" s="7"/>
      <c r="H51" s="4" t="s">
        <v>16</v>
      </c>
      <c r="I51" s="4" t="s">
        <v>17</v>
      </c>
      <c r="J51" s="4" t="s">
        <v>199</v>
      </c>
      <c r="K51" s="4" t="s">
        <v>207</v>
      </c>
      <c r="L51" s="4" t="s">
        <v>208</v>
      </c>
    </row>
    <row r="52" customFormat="false" ht="15" hidden="false" customHeight="false" outlineLevel="0" collapsed="false">
      <c r="A52" s="4" t="s">
        <v>209</v>
      </c>
      <c r="B52" s="4"/>
      <c r="C52" s="4" t="s">
        <v>210</v>
      </c>
      <c r="D52" s="7" t="n">
        <v>54.6</v>
      </c>
      <c r="E52" s="7"/>
      <c r="F52" s="7" t="n">
        <v>54.6</v>
      </c>
      <c r="G52" s="7"/>
      <c r="H52" s="4" t="s">
        <v>16</v>
      </c>
      <c r="I52" s="4" t="s">
        <v>17</v>
      </c>
      <c r="J52" s="4" t="s">
        <v>199</v>
      </c>
      <c r="K52" s="4" t="s">
        <v>207</v>
      </c>
      <c r="L52" s="4" t="s">
        <v>208</v>
      </c>
    </row>
    <row r="53" customFormat="false" ht="15" hidden="false" customHeight="false" outlineLevel="0" collapsed="false">
      <c r="A53" s="4"/>
      <c r="B53" s="4" t="s">
        <v>211</v>
      </c>
      <c r="C53" s="4"/>
      <c r="D53" s="7"/>
      <c r="E53" s="7" t="n">
        <v>15</v>
      </c>
      <c r="F53" s="7"/>
      <c r="G53" s="7"/>
      <c r="H53" s="4" t="s">
        <v>18</v>
      </c>
      <c r="I53" s="4" t="s">
        <v>15</v>
      </c>
      <c r="J53" s="4" t="s">
        <v>199</v>
      </c>
      <c r="K53" s="4" t="s">
        <v>212</v>
      </c>
      <c r="L53" s="4"/>
    </row>
    <row r="54" customFormat="false" ht="15" hidden="false" customHeight="false" outlineLevel="0" collapsed="false">
      <c r="A54" s="4"/>
      <c r="B54" s="4" t="s">
        <v>213</v>
      </c>
      <c r="C54" s="4"/>
      <c r="D54" s="7"/>
      <c r="E54" s="7" t="n">
        <v>800</v>
      </c>
      <c r="F54" s="7"/>
      <c r="G54" s="7"/>
      <c r="H54" s="4" t="s">
        <v>18</v>
      </c>
      <c r="I54" s="4" t="s">
        <v>15</v>
      </c>
      <c r="J54" s="4" t="s">
        <v>199</v>
      </c>
      <c r="K54" s="4" t="s">
        <v>212</v>
      </c>
      <c r="L54" s="4"/>
    </row>
    <row r="55" customFormat="false" ht="15" hidden="false" customHeight="false" outlineLevel="0" collapsed="false">
      <c r="A55" s="4"/>
      <c r="B55" s="4" t="s">
        <v>214</v>
      </c>
      <c r="C55" s="4"/>
      <c r="D55" s="7"/>
      <c r="E55" s="7" t="n">
        <v>64.4</v>
      </c>
      <c r="F55" s="7"/>
      <c r="G55" s="7"/>
      <c r="H55" s="4" t="s">
        <v>18</v>
      </c>
      <c r="I55" s="4" t="s">
        <v>15</v>
      </c>
      <c r="J55" s="4" t="s">
        <v>199</v>
      </c>
      <c r="K55" s="4" t="s">
        <v>212</v>
      </c>
      <c r="L55" s="4"/>
    </row>
    <row r="56" customFormat="false" ht="15" hidden="false" customHeight="false" outlineLevel="0" collapsed="false">
      <c r="A56" s="4" t="s">
        <v>215</v>
      </c>
      <c r="B56" s="4" t="s">
        <v>216</v>
      </c>
      <c r="C56" s="4"/>
      <c r="D56" s="7" t="n">
        <v>248</v>
      </c>
      <c r="E56" s="7" t="n">
        <v>248</v>
      </c>
      <c r="F56" s="7"/>
      <c r="G56" s="7" t="n">
        <f aca="false">IF(AND(ISNUMBER(E56),ISNUMBER(D56)),E56-D56,"")</f>
        <v>0</v>
      </c>
      <c r="H56" s="4" t="s">
        <v>19</v>
      </c>
      <c r="I56" s="4" t="s">
        <v>15</v>
      </c>
      <c r="J56" s="4" t="s">
        <v>192</v>
      </c>
      <c r="K56" s="4" t="s">
        <v>217</v>
      </c>
      <c r="L56" s="4"/>
    </row>
    <row r="57" customFormat="false" ht="15" hidden="false" customHeight="false" outlineLevel="0" collapsed="false">
      <c r="A57" s="4" t="s">
        <v>218</v>
      </c>
      <c r="B57" s="4" t="s">
        <v>219</v>
      </c>
      <c r="C57" s="4"/>
      <c r="D57" s="7" t="n">
        <v>248</v>
      </c>
      <c r="E57" s="7" t="n">
        <v>248</v>
      </c>
      <c r="F57" s="7"/>
      <c r="G57" s="7" t="n">
        <f aca="false">IF(AND(ISNUMBER(E57),ISNUMBER(D57)),E57-D57,"")</f>
        <v>0</v>
      </c>
      <c r="H57" s="4" t="s">
        <v>19</v>
      </c>
      <c r="I57" s="4" t="s">
        <v>15</v>
      </c>
      <c r="J57" s="4" t="s">
        <v>192</v>
      </c>
      <c r="K57" s="4" t="s">
        <v>217</v>
      </c>
      <c r="L57" s="4"/>
    </row>
    <row r="58" customFormat="false" ht="15" hidden="false" customHeight="false" outlineLevel="0" collapsed="false">
      <c r="A58" s="4" t="s">
        <v>220</v>
      </c>
      <c r="B58" s="4" t="s">
        <v>221</v>
      </c>
      <c r="C58" s="4"/>
      <c r="D58" s="7" t="n">
        <v>50.4</v>
      </c>
      <c r="E58" s="7" t="n">
        <v>50.4</v>
      </c>
      <c r="F58" s="7"/>
      <c r="G58" s="7" t="n">
        <f aca="false">IF(AND(ISNUMBER(E58),ISNUMBER(D58)),E58-D58,"")</f>
        <v>0</v>
      </c>
      <c r="H58" s="4" t="s">
        <v>19</v>
      </c>
      <c r="I58" s="4" t="s">
        <v>15</v>
      </c>
      <c r="J58" s="4" t="s">
        <v>192</v>
      </c>
      <c r="K58" s="4" t="s">
        <v>217</v>
      </c>
      <c r="L58" s="4"/>
    </row>
    <row r="59" customFormat="false" ht="15" hidden="false" customHeight="false" outlineLevel="0" collapsed="false">
      <c r="A59" s="4" t="s">
        <v>222</v>
      </c>
      <c r="B59" s="4" t="s">
        <v>223</v>
      </c>
      <c r="C59" s="4" t="s">
        <v>224</v>
      </c>
      <c r="D59" s="7" t="n">
        <v>19.6</v>
      </c>
      <c r="E59" s="7" t="n">
        <v>19.6</v>
      </c>
      <c r="F59" s="7" t="n">
        <v>19.6</v>
      </c>
      <c r="G59" s="7" t="n">
        <f aca="false">IF(AND(ISNUMBER(E59),ISNUMBER(D59)),E59-D59,"")</f>
        <v>0</v>
      </c>
      <c r="H59" s="4" t="s">
        <v>5</v>
      </c>
      <c r="I59" s="4" t="s">
        <v>6</v>
      </c>
      <c r="J59" s="4" t="s">
        <v>42</v>
      </c>
      <c r="K59" s="4" t="s">
        <v>225</v>
      </c>
      <c r="L59" s="4"/>
    </row>
    <row r="60" customFormat="false" ht="15" hidden="false" customHeight="false" outlineLevel="0" collapsed="false">
      <c r="A60" s="4" t="s">
        <v>222</v>
      </c>
      <c r="B60" s="4" t="s">
        <v>223</v>
      </c>
      <c r="C60" s="4"/>
      <c r="D60" s="7"/>
      <c r="E60" s="7" t="n">
        <v>19.6</v>
      </c>
      <c r="F60" s="7"/>
      <c r="G60" s="7"/>
      <c r="H60" s="4" t="s">
        <v>20</v>
      </c>
      <c r="I60" s="4" t="s">
        <v>15</v>
      </c>
      <c r="J60" s="4" t="s">
        <v>226</v>
      </c>
      <c r="K60" s="4" t="s">
        <v>227</v>
      </c>
      <c r="L60" s="4" t="s">
        <v>228</v>
      </c>
    </row>
    <row r="61" customFormat="false" ht="15" hidden="false" customHeight="false" outlineLevel="0" collapsed="false">
      <c r="A61" s="4" t="s">
        <v>229</v>
      </c>
      <c r="B61" s="4" t="s">
        <v>230</v>
      </c>
      <c r="C61" s="4" t="s">
        <v>231</v>
      </c>
      <c r="D61" s="7" t="n">
        <v>192.5</v>
      </c>
      <c r="E61" s="7" t="n">
        <v>192.5</v>
      </c>
      <c r="F61" s="7" t="n">
        <v>192.5</v>
      </c>
      <c r="G61" s="7" t="n">
        <f aca="false">IF(AND(ISNUMBER(E61),ISNUMBER(D61)),E61-D61,"")</f>
        <v>0</v>
      </c>
      <c r="H61" s="4" t="s">
        <v>5</v>
      </c>
      <c r="I61" s="4" t="s">
        <v>6</v>
      </c>
      <c r="J61" s="4" t="s">
        <v>42</v>
      </c>
      <c r="K61" s="4" t="s">
        <v>232</v>
      </c>
      <c r="L61" s="4"/>
    </row>
    <row r="62" customFormat="false" ht="15" hidden="false" customHeight="false" outlineLevel="0" collapsed="false">
      <c r="A62" s="4" t="s">
        <v>229</v>
      </c>
      <c r="B62" s="4" t="s">
        <v>233</v>
      </c>
      <c r="C62" s="4"/>
      <c r="D62" s="7"/>
      <c r="E62" s="7" t="n">
        <v>192.5</v>
      </c>
      <c r="F62" s="7"/>
      <c r="G62" s="7"/>
      <c r="H62" s="4" t="s">
        <v>20</v>
      </c>
      <c r="I62" s="4" t="s">
        <v>15</v>
      </c>
      <c r="J62" s="4" t="s">
        <v>226</v>
      </c>
      <c r="K62" s="4" t="s">
        <v>234</v>
      </c>
      <c r="L62" s="4" t="s">
        <v>235</v>
      </c>
    </row>
    <row r="63" customFormat="false" ht="15" hidden="false" customHeight="false" outlineLevel="0" collapsed="false">
      <c r="A63" s="4" t="s">
        <v>236</v>
      </c>
      <c r="B63" s="4"/>
      <c r="C63" s="4" t="s">
        <v>237</v>
      </c>
      <c r="D63" s="7" t="n">
        <v>77</v>
      </c>
      <c r="E63" s="7"/>
      <c r="F63" s="7" t="n">
        <v>77</v>
      </c>
      <c r="G63" s="7"/>
      <c r="H63" s="4" t="s">
        <v>14</v>
      </c>
      <c r="I63" s="4" t="s">
        <v>15</v>
      </c>
      <c r="J63" s="4" t="s">
        <v>238</v>
      </c>
      <c r="K63" s="4" t="s">
        <v>239</v>
      </c>
      <c r="L63" s="4" t="s">
        <v>240</v>
      </c>
    </row>
    <row r="64" customFormat="false" ht="15" hidden="false" customHeight="false" outlineLevel="0" collapsed="false">
      <c r="A64" s="4" t="s">
        <v>241</v>
      </c>
      <c r="B64" s="4"/>
      <c r="C64" s="4" t="s">
        <v>242</v>
      </c>
      <c r="D64" s="7" t="n">
        <v>77</v>
      </c>
      <c r="E64" s="7"/>
      <c r="F64" s="7" t="n">
        <v>77</v>
      </c>
      <c r="G64" s="7"/>
      <c r="H64" s="4" t="s">
        <v>14</v>
      </c>
      <c r="I64" s="4" t="s">
        <v>15</v>
      </c>
      <c r="J64" s="4" t="s">
        <v>238</v>
      </c>
      <c r="K64" s="4" t="s">
        <v>239</v>
      </c>
      <c r="L64" s="4" t="s">
        <v>240</v>
      </c>
    </row>
    <row r="65" customFormat="false" ht="15" hidden="false" customHeight="false" outlineLevel="0" collapsed="false">
      <c r="A65" s="4"/>
      <c r="B65" s="4" t="s">
        <v>243</v>
      </c>
      <c r="C65" s="4"/>
      <c r="D65" s="7"/>
      <c r="E65" s="7" t="n">
        <v>77</v>
      </c>
      <c r="F65" s="7"/>
      <c r="G65" s="7"/>
      <c r="H65" s="4" t="s">
        <v>18</v>
      </c>
      <c r="I65" s="4" t="s">
        <v>15</v>
      </c>
      <c r="J65" s="4" t="s">
        <v>238</v>
      </c>
      <c r="K65" s="4" t="s">
        <v>244</v>
      </c>
      <c r="L65" s="4"/>
    </row>
    <row r="66" customFormat="false" ht="15" hidden="false" customHeight="false" outlineLevel="0" collapsed="false">
      <c r="A66" s="4" t="s">
        <v>245</v>
      </c>
      <c r="B66" s="4" t="s">
        <v>246</v>
      </c>
      <c r="C66" s="4" t="s">
        <v>247</v>
      </c>
      <c r="D66" s="7" t="n">
        <v>124</v>
      </c>
      <c r="E66" s="7" t="n">
        <v>124</v>
      </c>
      <c r="F66" s="7" t="n">
        <v>124</v>
      </c>
      <c r="G66" s="7" t="n">
        <f aca="false">IF(AND(ISNUMBER(E66),ISNUMBER(D66)),E66-D66,"")</f>
        <v>0</v>
      </c>
      <c r="H66" s="4" t="s">
        <v>5</v>
      </c>
      <c r="I66" s="4" t="s">
        <v>6</v>
      </c>
      <c r="J66" s="4" t="s">
        <v>42</v>
      </c>
      <c r="K66" s="4" t="s">
        <v>248</v>
      </c>
      <c r="L66" s="4"/>
    </row>
  </sheetData>
  <autoFilter ref="A1:L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3" t="s">
        <v>249</v>
      </c>
      <c r="B1" s="3" t="s">
        <v>250</v>
      </c>
      <c r="C1" s="3" t="s">
        <v>251</v>
      </c>
    </row>
    <row r="2" customFormat="false" ht="15" hidden="false" customHeight="false" outlineLevel="0" collapsed="false">
      <c r="A2" s="4" t="s">
        <v>252</v>
      </c>
      <c r="B2" s="4" t="s">
        <v>253</v>
      </c>
      <c r="C2" s="4" t="s">
        <v>254</v>
      </c>
    </row>
    <row r="3" customFormat="false" ht="15" hidden="false" customHeight="false" outlineLevel="0" collapsed="false">
      <c r="A3" s="4" t="s">
        <v>252</v>
      </c>
      <c r="B3" s="4" t="s">
        <v>255</v>
      </c>
      <c r="C3" s="4" t="s">
        <v>256</v>
      </c>
    </row>
    <row r="4" customFormat="false" ht="15" hidden="false" customHeight="false" outlineLevel="0" collapsed="false">
      <c r="A4" s="4" t="s">
        <v>252</v>
      </c>
      <c r="B4" s="4" t="s">
        <v>257</v>
      </c>
      <c r="C4" s="4" t="s">
        <v>258</v>
      </c>
    </row>
    <row r="5" customFormat="false" ht="15" hidden="false" customHeight="false" outlineLevel="0" collapsed="false">
      <c r="A5" s="4" t="s">
        <v>259</v>
      </c>
      <c r="B5" s="4" t="s">
        <v>260</v>
      </c>
      <c r="C5" s="4" t="s">
        <v>261</v>
      </c>
    </row>
    <row r="6" customFormat="false" ht="15" hidden="false" customHeight="false" outlineLevel="0" collapsed="false">
      <c r="A6" s="4" t="s">
        <v>259</v>
      </c>
      <c r="B6" s="4" t="s">
        <v>262</v>
      </c>
      <c r="C6" s="4" t="s">
        <v>263</v>
      </c>
    </row>
    <row r="7" customFormat="false" ht="15" hidden="false" customHeight="false" outlineLevel="0" collapsed="false">
      <c r="A7" s="4" t="s">
        <v>264</v>
      </c>
      <c r="B7" s="4" t="s">
        <v>265</v>
      </c>
      <c r="C7" s="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3" t="s">
        <v>267</v>
      </c>
      <c r="B1" s="3" t="s">
        <v>268</v>
      </c>
      <c r="C1" s="3" t="s">
        <v>269</v>
      </c>
    </row>
    <row r="2" customFormat="false" ht="15" hidden="false" customHeight="false" outlineLevel="0" collapsed="false">
      <c r="A2" s="8" t="s">
        <v>270</v>
      </c>
      <c r="B2" s="9" t="s">
        <v>271</v>
      </c>
      <c r="C2" s="9" t="s">
        <v>272</v>
      </c>
    </row>
    <row r="3" customFormat="false" ht="15" hidden="false" customHeight="false" outlineLevel="0" collapsed="false">
      <c r="A3" s="8" t="s">
        <v>147</v>
      </c>
      <c r="B3" s="9" t="s">
        <v>273</v>
      </c>
      <c r="C3" s="9" t="s">
        <v>274</v>
      </c>
    </row>
    <row r="4" customFormat="false" ht="26.85" hidden="false" customHeight="false" outlineLevel="0" collapsed="false">
      <c r="A4" s="8" t="s">
        <v>158</v>
      </c>
      <c r="B4" s="9" t="s">
        <v>275</v>
      </c>
      <c r="C4" s="9" t="s">
        <v>276</v>
      </c>
    </row>
    <row r="5" customFormat="false" ht="15" hidden="false" customHeight="false" outlineLevel="0" collapsed="false">
      <c r="A5" s="8" t="s">
        <v>177</v>
      </c>
      <c r="B5" s="9" t="s">
        <v>277</v>
      </c>
      <c r="C5" s="9" t="s">
        <v>278</v>
      </c>
    </row>
    <row r="6" customFormat="false" ht="26.85" hidden="false" customHeight="false" outlineLevel="0" collapsed="false">
      <c r="A6" s="8" t="s">
        <v>226</v>
      </c>
      <c r="B6" s="9" t="s">
        <v>279</v>
      </c>
      <c r="C6" s="9" t="s">
        <v>280</v>
      </c>
    </row>
    <row r="7" customFormat="false" ht="26.85" hidden="false" customHeight="false" outlineLevel="0" collapsed="false">
      <c r="A7" s="8" t="s">
        <v>192</v>
      </c>
      <c r="B7" s="9" t="s">
        <v>281</v>
      </c>
      <c r="C7" s="9" t="s">
        <v>282</v>
      </c>
    </row>
    <row r="8" customFormat="false" ht="26.85" hidden="false" customHeight="false" outlineLevel="0" collapsed="false">
      <c r="A8" s="8" t="s">
        <v>199</v>
      </c>
      <c r="B8" s="9" t="s">
        <v>283</v>
      </c>
      <c r="C8" s="9" t="s">
        <v>284</v>
      </c>
    </row>
    <row r="9" customFormat="false" ht="26.85" hidden="false" customHeight="false" outlineLevel="0" collapsed="false">
      <c r="A9" s="8" t="s">
        <v>285</v>
      </c>
      <c r="B9" s="9"/>
      <c r="C9" s="9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2026-09-23T19:09:48Z</dcterms:created>
  <dc:creator>openpyxl</dc:creator>
  <dc:description/>
  <dc:language>en-US</dc:language>
  <cp:lastModifiedBy/>
  <dcterms:modified xsi:type="dcterms:W3CDTF">2026-09-23T19:09:48Z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